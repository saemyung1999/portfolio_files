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ta-15\Desktop\"/>
    </mc:Choice>
  </mc:AlternateContent>
  <bookViews>
    <workbookView xWindow="0" yWindow="465" windowWidth="33600" windowHeight="20535" tabRatio="642" activeTab="4"/>
  </bookViews>
  <sheets>
    <sheet name="프로그램 명세서" sheetId="4" r:id="rId1"/>
    <sheet name="메뉴 구조도" sheetId="3" r:id="rId2"/>
    <sheet name="WBS" sheetId="5" r:id="rId3"/>
    <sheet name="Sheet1" sheetId="9" state="hidden" r:id="rId4"/>
    <sheet name="테이블명세서" sheetId="10" r:id="rId5"/>
    <sheet name="erd" sheetId="11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5" i="5" l="1"/>
  <c r="C37" i="5"/>
  <c r="C36" i="5"/>
  <c r="A19" i="4"/>
  <c r="A17" i="4"/>
  <c r="A18" i="4"/>
  <c r="C27" i="5" l="1"/>
  <c r="C34" i="5" l="1"/>
  <c r="C33" i="5"/>
  <c r="C50" i="5" l="1"/>
  <c r="C49" i="5"/>
  <c r="C48" i="5"/>
  <c r="C47" i="5"/>
  <c r="G46" i="5"/>
  <c r="C46" i="5" s="1"/>
  <c r="C45" i="5"/>
  <c r="C44" i="5"/>
  <c r="C43" i="5"/>
  <c r="G42" i="5"/>
  <c r="C42" i="5" s="1"/>
  <c r="C41" i="5"/>
  <c r="C40" i="5"/>
  <c r="C39" i="5"/>
  <c r="G38" i="5"/>
  <c r="C38" i="5" s="1"/>
  <c r="C32" i="5"/>
  <c r="C31" i="5"/>
  <c r="C30" i="5"/>
  <c r="C29" i="5"/>
  <c r="G28" i="5"/>
  <c r="C28" i="5" s="1"/>
  <c r="C26" i="5"/>
  <c r="C25" i="5"/>
  <c r="G24" i="5"/>
  <c r="C24" i="5" s="1"/>
  <c r="C22" i="5"/>
  <c r="C21" i="5"/>
  <c r="C20" i="5"/>
  <c r="C19" i="5"/>
  <c r="C18" i="5"/>
  <c r="C17" i="5"/>
  <c r="C16" i="5"/>
  <c r="G15" i="5"/>
  <c r="C15" i="5" s="1"/>
  <c r="F13" i="5"/>
  <c r="F12" i="5"/>
  <c r="G11" i="5"/>
  <c r="F11" i="5"/>
  <c r="F10" i="5"/>
  <c r="F9" i="5"/>
  <c r="F8" i="5"/>
  <c r="F7" i="5"/>
  <c r="F6" i="5"/>
  <c r="G5" i="5"/>
  <c r="F5" i="5"/>
  <c r="F4" i="5"/>
  <c r="F3" i="5"/>
  <c r="F2" i="5"/>
  <c r="A37" i="4"/>
  <c r="A36" i="4"/>
  <c r="A35" i="4"/>
  <c r="A34" i="4"/>
  <c r="A33" i="4"/>
  <c r="A32" i="4"/>
  <c r="A31" i="4"/>
  <c r="A30" i="4"/>
  <c r="A29" i="4"/>
  <c r="A28" i="4"/>
  <c r="A27" i="4"/>
  <c r="A26" i="4"/>
  <c r="A21" i="4"/>
  <c r="A20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G2" i="5" l="1"/>
  <c r="G23" i="5"/>
  <c r="C23" i="5" s="1"/>
  <c r="G14" i="5" l="1"/>
  <c r="C14" i="5" s="1"/>
</calcChain>
</file>

<file path=xl/sharedStrings.xml><?xml version="1.0" encoding="utf-8"?>
<sst xmlns="http://schemas.openxmlformats.org/spreadsheetml/2006/main" count="654" uniqueCount="378">
  <si>
    <t>관리자</t>
  </si>
  <si>
    <t>구분</t>
  </si>
  <si>
    <t>구분</t>
  </si>
  <si>
    <t>1depth</t>
  </si>
  <si>
    <t>2depth</t>
  </si>
  <si>
    <t>3depth</t>
  </si>
  <si>
    <t>관리</t>
  </si>
  <si>
    <t>공지사항 관리</t>
  </si>
  <si>
    <t>로그인</t>
  </si>
  <si>
    <t>사용자</t>
  </si>
  <si>
    <t>업무영역</t>
  </si>
  <si>
    <t>프로그램ID</t>
  </si>
  <si>
    <t>프로그램명</t>
  </si>
  <si>
    <t>DB Transaction</t>
  </si>
  <si>
    <t>작업자</t>
  </si>
  <si>
    <t>Lev1</t>
  </si>
  <si>
    <t>Lev2</t>
  </si>
  <si>
    <t>Lev3</t>
  </si>
  <si>
    <t>Tab/Page</t>
  </si>
  <si>
    <t>Page/기능구분</t>
  </si>
  <si>
    <t>비고</t>
  </si>
  <si>
    <t>Program</t>
  </si>
  <si>
    <t>Program</t>
  </si>
  <si>
    <t>공지사항 등록/조회/수정/삭제</t>
  </si>
  <si>
    <t>회원가입</t>
  </si>
  <si>
    <t>태스크</t>
  </si>
  <si>
    <t>상태</t>
  </si>
  <si>
    <t>시작일</t>
  </si>
  <si>
    <t>종료일</t>
  </si>
  <si>
    <t>기간</t>
  </si>
  <si>
    <t>진척률</t>
  </si>
  <si>
    <t>설계</t>
  </si>
  <si>
    <t xml:space="preserve">  메뉴 구조도</t>
  </si>
  <si>
    <t xml:space="preserve">  프로그램 명세서</t>
  </si>
  <si>
    <t xml:space="preserve">  DB 설계(ERD)</t>
  </si>
  <si>
    <t xml:space="preserve">  DB 구현</t>
  </si>
  <si>
    <t xml:space="preserve">  개발환경 세팅</t>
  </si>
  <si>
    <t xml:space="preserve">    Spring 세팅</t>
  </si>
  <si>
    <t xml:space="preserve">    my-batis 세팅</t>
  </si>
  <si>
    <t xml:space="preserve">    논리ERD 작성</t>
  </si>
  <si>
    <t xml:space="preserve">    물리ERD 작성</t>
  </si>
  <si>
    <t xml:space="preserve">  화면설계서</t>
  </si>
  <si>
    <t>구현(소프트웨어개발)</t>
  </si>
  <si>
    <t xml:space="preserve">  로그인</t>
  </si>
  <si>
    <t xml:space="preserve">  HOME</t>
  </si>
  <si>
    <t xml:space="preserve">  로그아웃</t>
  </si>
  <si>
    <t xml:space="preserve">  회원가입</t>
  </si>
  <si>
    <t xml:space="preserve">  아이디 찾기</t>
  </si>
  <si>
    <t xml:space="preserve">  비밀번호 찾기</t>
  </si>
  <si>
    <t>사용자</t>
  </si>
  <si>
    <t xml:space="preserve">    회원정보 수정</t>
  </si>
  <si>
    <t xml:space="preserve">  공지사항</t>
  </si>
  <si>
    <t xml:space="preserve">    공지사항 리스트</t>
  </si>
  <si>
    <t xml:space="preserve">    공지사항 상세</t>
  </si>
  <si>
    <t xml:space="preserve">    회원정보 등록</t>
  </si>
  <si>
    <t xml:space="preserve">    회원정보 상세</t>
  </si>
  <si>
    <t xml:space="preserve">    회원정보 수정</t>
  </si>
  <si>
    <t xml:space="preserve">  회원 관리</t>
  </si>
  <si>
    <t xml:space="preserve">  공지사항 관리</t>
  </si>
  <si>
    <t xml:space="preserve">    공지사항 등록</t>
  </si>
  <si>
    <t xml:space="preserve">    공지사항 리스트</t>
  </si>
  <si>
    <t xml:space="preserve">    공지사항 수정</t>
  </si>
  <si>
    <t xml:space="preserve">    공지사항 상세</t>
  </si>
  <si>
    <t xml:space="preserve">  테이블 명세서</t>
  </si>
  <si>
    <t>아이디/비번찾기</t>
  </si>
  <si>
    <t xml:space="preserve">    회원 탈퇴</t>
  </si>
  <si>
    <t>공지사항 게시판</t>
  </si>
  <si>
    <t>관리자</t>
  </si>
  <si>
    <t>로그인</t>
  </si>
  <si>
    <t>회원 관리</t>
  </si>
  <si>
    <t>회원정보 등록/조회/수정/삭제</t>
  </si>
  <si>
    <t>공지사항 관리</t>
  </si>
  <si>
    <t>Program</t>
  </si>
  <si>
    <t>로그인</t>
  </si>
  <si>
    <t>회원가입</t>
  </si>
  <si>
    <t>게시판 관리</t>
  </si>
  <si>
    <t>회원정보 수정</t>
  </si>
  <si>
    <t>회원탈퇴</t>
  </si>
  <si>
    <t>이메일로 임시비번 전송</t>
  </si>
  <si>
    <t>이름/전화번호/이메일 등 정보 저장</t>
  </si>
  <si>
    <t>NO</t>
  </si>
  <si>
    <t>TOP</t>
  </si>
  <si>
    <t>N</t>
  </si>
  <si>
    <t>회원관리</t>
  </si>
  <si>
    <t>R</t>
  </si>
  <si>
    <t>로그아웃</t>
  </si>
  <si>
    <t>아이디 찾기</t>
  </si>
  <si>
    <t>비밀번호 찾기</t>
  </si>
  <si>
    <t>R,U</t>
  </si>
  <si>
    <t>회원정보 등록</t>
  </si>
  <si>
    <t>C</t>
  </si>
  <si>
    <t>회원정보 상세</t>
  </si>
  <si>
    <t>D</t>
  </si>
  <si>
    <t>C,D,U</t>
  </si>
  <si>
    <t>공지사항 조회</t>
  </si>
  <si>
    <t>공지사항 수정</t>
  </si>
  <si>
    <t>공지사항 등록</t>
  </si>
  <si>
    <t>사용자</t>
  </si>
  <si>
    <t>이메일중복확인</t>
  </si>
  <si>
    <t>아이디중복확인</t>
  </si>
  <si>
    <t>아이디/비번틀림</t>
  </si>
  <si>
    <t>사용자</t>
  </si>
  <si>
    <t>임세명</t>
  </si>
  <si>
    <t xml:space="preserve">  회원정보</t>
  </si>
  <si>
    <t>공지사항 리스트</t>
  </si>
  <si>
    <t>공지사항 상세</t>
  </si>
  <si>
    <t>이메일로 임시비번 보내기</t>
  </si>
  <si>
    <t>비번확인</t>
  </si>
  <si>
    <t>비번확인</t>
  </si>
  <si>
    <t>USER_01</t>
  </si>
  <si>
    <t>USER_02</t>
  </si>
  <si>
    <t>USER_03</t>
  </si>
  <si>
    <t>USER_04</t>
  </si>
  <si>
    <t>USER_05</t>
  </si>
  <si>
    <t>USER_06</t>
  </si>
  <si>
    <t>USER_07</t>
  </si>
  <si>
    <t>USER_08</t>
  </si>
  <si>
    <t>USER_09</t>
  </si>
  <si>
    <t>USER_10</t>
  </si>
  <si>
    <t>ADMIN_01</t>
  </si>
  <si>
    <t>ADMIN_02</t>
  </si>
  <si>
    <t>ADMIN_03</t>
  </si>
  <si>
    <t>ADMIN_04</t>
  </si>
  <si>
    <t>ADMIN_05</t>
  </si>
  <si>
    <t>ADMIN_06</t>
  </si>
  <si>
    <t>ADMIN_07</t>
  </si>
  <si>
    <t>ADMIN_08</t>
  </si>
  <si>
    <t>ADMIN_09</t>
  </si>
  <si>
    <t>ADMIN_10</t>
  </si>
  <si>
    <t>ADMIN_11</t>
  </si>
  <si>
    <t>회원정보</t>
  </si>
  <si>
    <t>공지사항 상세</t>
  </si>
  <si>
    <t>공지사항 수정</t>
  </si>
  <si>
    <t>ADMIN_12</t>
  </si>
  <si>
    <t>R,U</t>
  </si>
  <si>
    <t>공지사항</t>
  </si>
  <si>
    <t xml:space="preserve">    이메일 전송</t>
  </si>
  <si>
    <t>메인</t>
  </si>
  <si>
    <t>아이디</t>
  </si>
  <si>
    <t>테이블 명세서</t>
  </si>
  <si>
    <t>Table name
(logical name)</t>
  </si>
  <si>
    <t>회원 정보</t>
  </si>
  <si>
    <t>Table name
(physical name)</t>
  </si>
  <si>
    <t>Column name
(logical name)</t>
  </si>
  <si>
    <t>회원번호</t>
  </si>
  <si>
    <t>비밀번호</t>
  </si>
  <si>
    <t>회원 이름</t>
  </si>
  <si>
    <t>등록일</t>
  </si>
  <si>
    <t>등록자 회원번호</t>
  </si>
  <si>
    <t>수정일</t>
  </si>
  <si>
    <t>수정자 회원번호</t>
  </si>
  <si>
    <t>공지사항 번호</t>
  </si>
  <si>
    <t>공지사항 제목</t>
  </si>
  <si>
    <t>공지사항 내용</t>
  </si>
  <si>
    <t>공지사항 작성자</t>
  </si>
  <si>
    <t>공지사항 조회수</t>
  </si>
  <si>
    <t>Column name
(physical name)</t>
  </si>
  <si>
    <t>REGDATE</t>
  </si>
  <si>
    <t>REGNO</t>
  </si>
  <si>
    <t>UPDDATE</t>
  </si>
  <si>
    <t>UPDNO</t>
  </si>
  <si>
    <t>Type</t>
  </si>
  <si>
    <t>date</t>
  </si>
  <si>
    <t>Length</t>
  </si>
  <si>
    <t>Decimal</t>
  </si>
  <si>
    <t>PK</t>
  </si>
  <si>
    <t>*</t>
  </si>
  <si>
    <t>NOT NULL</t>
  </si>
  <si>
    <t>UNIQUE</t>
  </si>
  <si>
    <t>FK</t>
  </si>
  <si>
    <t>-&gt; 회원정보.회원번호</t>
  </si>
  <si>
    <t>회원 이메일</t>
  </si>
  <si>
    <t>권한</t>
    <phoneticPr fontId="3" type="noConversion"/>
  </si>
  <si>
    <r>
      <t>n</t>
    </r>
    <r>
      <rPr>
        <sz val="10"/>
        <color rgb="FF000000"/>
        <rFont val="맑은 고딕"/>
        <family val="3"/>
        <charset val="129"/>
      </rPr>
      <t>umber</t>
    </r>
    <phoneticPr fontId="3" type="noConversion"/>
  </si>
  <si>
    <r>
      <t>n</t>
    </r>
    <r>
      <rPr>
        <sz val="10"/>
        <color rgb="FF000000"/>
        <rFont val="맑은 고딕"/>
        <family val="3"/>
        <charset val="129"/>
      </rPr>
      <t>umber</t>
    </r>
    <phoneticPr fontId="3" type="noConversion"/>
  </si>
  <si>
    <t>*</t>
    <phoneticPr fontId="3" type="noConversion"/>
  </si>
  <si>
    <r>
      <t>n</t>
    </r>
    <r>
      <rPr>
        <sz val="10"/>
        <color rgb="FF000000"/>
        <rFont val="맑은 고딕"/>
        <family val="3"/>
        <charset val="129"/>
      </rPr>
      <t>umber</t>
    </r>
    <phoneticPr fontId="3" type="noConversion"/>
  </si>
  <si>
    <r>
      <t>varchar</t>
    </r>
    <r>
      <rPr>
        <sz val="10"/>
        <color rgb="FF000000"/>
        <rFont val="맑은 고딕"/>
        <family val="3"/>
        <charset val="129"/>
      </rPr>
      <t>2</t>
    </r>
    <phoneticPr fontId="3" type="noConversion"/>
  </si>
  <si>
    <r>
      <t>varcha</t>
    </r>
    <r>
      <rPr>
        <sz val="10"/>
        <color rgb="FF000000"/>
        <rFont val="맑은 고딕"/>
        <family val="3"/>
        <charset val="129"/>
      </rPr>
      <t>r2</t>
    </r>
    <phoneticPr fontId="3" type="noConversion"/>
  </si>
  <si>
    <r>
      <t>varchar</t>
    </r>
    <r>
      <rPr>
        <sz val="10"/>
        <color rgb="FF000000"/>
        <rFont val="맑은 고딕"/>
        <family val="3"/>
        <charset val="129"/>
      </rPr>
      <t>2</t>
    </r>
    <phoneticPr fontId="3" type="noConversion"/>
  </si>
  <si>
    <r>
      <t>n</t>
    </r>
    <r>
      <rPr>
        <sz val="10"/>
        <color theme="1"/>
        <rFont val="맑은 고딕"/>
        <family val="3"/>
        <charset val="129"/>
      </rPr>
      <t>umber</t>
    </r>
    <phoneticPr fontId="3" type="noConversion"/>
  </si>
  <si>
    <r>
      <t>varchar</t>
    </r>
    <r>
      <rPr>
        <sz val="10"/>
        <color rgb="FF000000"/>
        <rFont val="맑은 고딕"/>
        <family val="3"/>
        <charset val="129"/>
      </rPr>
      <t>2</t>
    </r>
    <phoneticPr fontId="3" type="noConversion"/>
  </si>
  <si>
    <r>
      <t>varchar</t>
    </r>
    <r>
      <rPr>
        <sz val="10"/>
        <color rgb="FF000000"/>
        <rFont val="맑은 고딕"/>
        <family val="3"/>
        <charset val="129"/>
      </rPr>
      <t>2</t>
    </r>
    <phoneticPr fontId="3" type="noConversion"/>
  </si>
  <si>
    <t>*</t>
    <phoneticPr fontId="3" type="noConversion"/>
  </si>
  <si>
    <t>NOTI_TITLE</t>
    <phoneticPr fontId="3" type="noConversion"/>
  </si>
  <si>
    <t>NOTI_CONTENT</t>
    <phoneticPr fontId="3" type="noConversion"/>
  </si>
  <si>
    <t>NOTI_COUNT</t>
    <phoneticPr fontId="3" type="noConversion"/>
  </si>
  <si>
    <t>마이페이지</t>
    <phoneticPr fontId="3" type="noConversion"/>
  </si>
  <si>
    <t>공통</t>
    <phoneticPr fontId="3" type="noConversion"/>
  </si>
  <si>
    <t xml:space="preserve">    회원정보 상세</t>
    <phoneticPr fontId="3" type="noConversion"/>
  </si>
  <si>
    <r>
      <t>내 팀</t>
    </r>
    <r>
      <rPr>
        <sz val="11"/>
        <color theme="1"/>
        <rFont val="맑은 고딕"/>
        <family val="3"/>
        <charset val="129"/>
        <scheme val="minor"/>
      </rPr>
      <t xml:space="preserve"> 정보</t>
    </r>
    <phoneticPr fontId="3" type="noConversion"/>
  </si>
  <si>
    <r>
      <t>뉴스,</t>
    </r>
    <r>
      <rPr>
        <sz val="11"/>
        <color theme="1"/>
        <rFont val="맑은 고딕"/>
        <family val="3"/>
        <charset val="129"/>
        <scheme val="minor"/>
      </rPr>
      <t xml:space="preserve"> 선수단, 순위 보기</t>
    </r>
    <phoneticPr fontId="3" type="noConversion"/>
  </si>
  <si>
    <r>
      <t>내 팀</t>
    </r>
    <r>
      <rPr>
        <sz val="11"/>
        <color theme="1"/>
        <rFont val="맑은 고딕"/>
        <family val="3"/>
        <charset val="129"/>
        <scheme val="minor"/>
      </rPr>
      <t xml:space="preserve"> 관련 뉴스, 선수단, 순위 보기</t>
    </r>
    <phoneticPr fontId="3" type="noConversion"/>
  </si>
  <si>
    <t>개인 정보</t>
    <phoneticPr fontId="3" type="noConversion"/>
  </si>
  <si>
    <t>나의 회원정보 확인</t>
    <phoneticPr fontId="3" type="noConversion"/>
  </si>
  <si>
    <t>축구 정보</t>
    <phoneticPr fontId="3" type="noConversion"/>
  </si>
  <si>
    <t>기사 보기</t>
    <phoneticPr fontId="3" type="noConversion"/>
  </si>
  <si>
    <t>순위 보기</t>
    <phoneticPr fontId="3" type="noConversion"/>
  </si>
  <si>
    <t>일정 보기</t>
    <phoneticPr fontId="3" type="noConversion"/>
  </si>
  <si>
    <r>
      <t>축구 기사</t>
    </r>
    <r>
      <rPr>
        <sz val="11"/>
        <color theme="1"/>
        <rFont val="맑은 고딕"/>
        <family val="3"/>
        <charset val="129"/>
        <scheme val="minor"/>
      </rPr>
      <t xml:space="preserve"> 보기</t>
    </r>
    <phoneticPr fontId="3" type="noConversion"/>
  </si>
  <si>
    <r>
      <t>축구 순위</t>
    </r>
    <r>
      <rPr>
        <sz val="11"/>
        <color theme="1"/>
        <rFont val="맑은 고딕"/>
        <family val="3"/>
        <charset val="129"/>
        <scheme val="minor"/>
      </rPr>
      <t xml:space="preserve"> 보기</t>
    </r>
    <phoneticPr fontId="3" type="noConversion"/>
  </si>
  <si>
    <r>
      <t>축구 일정</t>
    </r>
    <r>
      <rPr>
        <sz val="11"/>
        <color theme="1"/>
        <rFont val="맑은 고딕"/>
        <family val="3"/>
        <charset val="129"/>
        <scheme val="minor"/>
      </rPr>
      <t xml:space="preserve"> 보기</t>
    </r>
    <phoneticPr fontId="3" type="noConversion"/>
  </si>
  <si>
    <t>공지사항 게시판</t>
    <phoneticPr fontId="3" type="noConversion"/>
  </si>
  <si>
    <t>내 팀 축구 기사 리스트</t>
    <phoneticPr fontId="3" type="noConversion"/>
  </si>
  <si>
    <r>
      <t>내 팀</t>
    </r>
    <r>
      <rPr>
        <sz val="11"/>
        <color theme="1"/>
        <rFont val="맑은 고딕"/>
        <family val="3"/>
        <charset val="129"/>
        <scheme val="minor"/>
      </rPr>
      <t xml:space="preserve"> 선수단 리스트</t>
    </r>
    <phoneticPr fontId="3" type="noConversion"/>
  </si>
  <si>
    <r>
      <t>내 팀</t>
    </r>
    <r>
      <rPr>
        <sz val="11"/>
        <color theme="1"/>
        <rFont val="맑은 고딕"/>
        <family val="3"/>
        <charset val="129"/>
        <scheme val="minor"/>
      </rPr>
      <t xml:space="preserve"> 순위 리스트</t>
    </r>
    <phoneticPr fontId="3" type="noConversion"/>
  </si>
  <si>
    <r>
      <t>내 팀</t>
    </r>
    <r>
      <rPr>
        <sz val="11"/>
        <color theme="1"/>
        <rFont val="맑은 고딕"/>
        <family val="3"/>
        <charset val="129"/>
        <scheme val="minor"/>
      </rPr>
      <t xml:space="preserve"> 축구 기사 상세</t>
    </r>
    <phoneticPr fontId="3" type="noConversion"/>
  </si>
  <si>
    <r>
      <t>USER_1</t>
    </r>
    <r>
      <rPr>
        <sz val="11"/>
        <color theme="1"/>
        <rFont val="맑은 고딕"/>
        <family val="3"/>
        <charset val="129"/>
        <scheme val="minor"/>
      </rPr>
      <t>1</t>
    </r>
    <phoneticPr fontId="3" type="noConversion"/>
  </si>
  <si>
    <r>
      <t>USER_1</t>
    </r>
    <r>
      <rPr>
        <sz val="11"/>
        <color theme="1"/>
        <rFont val="맑은 고딕"/>
        <family val="3"/>
        <charset val="129"/>
        <scheme val="minor"/>
      </rPr>
      <t>2</t>
    </r>
    <phoneticPr fontId="3" type="noConversion"/>
  </si>
  <si>
    <r>
      <t>USER_1</t>
    </r>
    <r>
      <rPr>
        <sz val="11"/>
        <color theme="1"/>
        <rFont val="맑은 고딕"/>
        <family val="3"/>
        <charset val="129"/>
        <scheme val="minor"/>
      </rPr>
      <t>3</t>
    </r>
    <phoneticPr fontId="3" type="noConversion"/>
  </si>
  <si>
    <t>전체 축구 정보</t>
    <phoneticPr fontId="3" type="noConversion"/>
  </si>
  <si>
    <t>내 팀 축구 정보</t>
    <phoneticPr fontId="3" type="noConversion"/>
  </si>
  <si>
    <r>
      <t>내팀 축구</t>
    </r>
    <r>
      <rPr>
        <sz val="11"/>
        <color theme="1"/>
        <rFont val="맑은 고딕"/>
        <family val="3"/>
        <charset val="129"/>
        <scheme val="minor"/>
      </rPr>
      <t xml:space="preserve"> 선수단</t>
    </r>
    <r>
      <rPr>
        <sz val="11"/>
        <color theme="1"/>
        <rFont val="맑은 고딕"/>
        <family val="3"/>
        <charset val="129"/>
        <scheme val="minor"/>
      </rPr>
      <t xml:space="preserve"> 조회</t>
    </r>
    <phoneticPr fontId="3" type="noConversion"/>
  </si>
  <si>
    <t>내팀 축구 기사 조회</t>
    <phoneticPr fontId="3" type="noConversion"/>
  </si>
  <si>
    <r>
      <t>내팀 축구</t>
    </r>
    <r>
      <rPr>
        <sz val="11"/>
        <color theme="1"/>
        <rFont val="맑은 고딕"/>
        <family val="3"/>
        <charset val="129"/>
        <scheme val="minor"/>
      </rPr>
      <t xml:space="preserve"> 순위 조회</t>
    </r>
    <phoneticPr fontId="3" type="noConversion"/>
  </si>
  <si>
    <r>
      <t>전체 축구</t>
    </r>
    <r>
      <rPr>
        <sz val="11"/>
        <color theme="1"/>
        <rFont val="맑은 고딕"/>
        <family val="2"/>
        <charset val="129"/>
        <scheme val="minor"/>
      </rPr>
      <t xml:space="preserve"> 뉴스 조회</t>
    </r>
    <phoneticPr fontId="3" type="noConversion"/>
  </si>
  <si>
    <r>
      <t>전체 축구</t>
    </r>
    <r>
      <rPr>
        <sz val="11"/>
        <color theme="1"/>
        <rFont val="맑은 고딕"/>
        <family val="2"/>
        <charset val="129"/>
        <scheme val="minor"/>
      </rPr>
      <t xml:space="preserve"> 순위 조회</t>
    </r>
    <phoneticPr fontId="3" type="noConversion"/>
  </si>
  <si>
    <r>
      <t>전체 축구</t>
    </r>
    <r>
      <rPr>
        <sz val="11"/>
        <color theme="1"/>
        <rFont val="맑은 고딕"/>
        <family val="2"/>
        <charset val="129"/>
        <scheme val="minor"/>
      </rPr>
      <t xml:space="preserve"> 일정 조회</t>
    </r>
    <phoneticPr fontId="3" type="noConversion"/>
  </si>
  <si>
    <t>USER_14</t>
    <phoneticPr fontId="3" type="noConversion"/>
  </si>
  <si>
    <t>USER_15</t>
    <phoneticPr fontId="3" type="noConversion"/>
  </si>
  <si>
    <t>USER_16</t>
    <phoneticPr fontId="3" type="noConversion"/>
  </si>
  <si>
    <t>USER_17</t>
    <phoneticPr fontId="3" type="noConversion"/>
  </si>
  <si>
    <t>USER_18</t>
    <phoneticPr fontId="3" type="noConversion"/>
  </si>
  <si>
    <t>전체 축구 뉴스 리스트</t>
    <phoneticPr fontId="3" type="noConversion"/>
  </si>
  <si>
    <t>전체 축구 순위 리스트</t>
    <phoneticPr fontId="3" type="noConversion"/>
  </si>
  <si>
    <t>전체 축구 일정 리스트</t>
    <phoneticPr fontId="3" type="noConversion"/>
  </si>
  <si>
    <t>전체 축구 기사 상세</t>
    <phoneticPr fontId="3" type="noConversion"/>
  </si>
  <si>
    <t>C,R</t>
    <phoneticPr fontId="3" type="noConversion"/>
  </si>
  <si>
    <t>R,U,D</t>
    <phoneticPr fontId="3" type="noConversion"/>
  </si>
  <si>
    <t>사용자</t>
    <phoneticPr fontId="3" type="noConversion"/>
  </si>
  <si>
    <t>사용자</t>
    <phoneticPr fontId="3" type="noConversion"/>
  </si>
  <si>
    <t>R,U</t>
    <phoneticPr fontId="3" type="noConversion"/>
  </si>
  <si>
    <t>R,U</t>
    <phoneticPr fontId="3" type="noConversion"/>
  </si>
  <si>
    <t>R,U</t>
    <phoneticPr fontId="3" type="noConversion"/>
  </si>
  <si>
    <t>R,U</t>
    <phoneticPr fontId="3" type="noConversion"/>
  </si>
  <si>
    <t>R,U</t>
    <phoneticPr fontId="3" type="noConversion"/>
  </si>
  <si>
    <t>아이디 찾기</t>
    <phoneticPr fontId="3" type="noConversion"/>
  </si>
  <si>
    <t xml:space="preserve">  내 팀 정보</t>
    <phoneticPr fontId="3" type="noConversion"/>
  </si>
  <si>
    <r>
      <t xml:space="preserve">      내</t>
    </r>
    <r>
      <rPr>
        <sz val="11"/>
        <color theme="1"/>
        <rFont val="맑은 고딕"/>
        <family val="3"/>
        <charset val="129"/>
        <scheme val="minor"/>
      </rPr>
      <t xml:space="preserve"> 팀 뉴스 상세 보기</t>
    </r>
    <phoneticPr fontId="3" type="noConversion"/>
  </si>
  <si>
    <t xml:space="preserve">    내 팀 뉴스 리스트</t>
    <phoneticPr fontId="3" type="noConversion"/>
  </si>
  <si>
    <r>
      <t xml:space="preserve">    내</t>
    </r>
    <r>
      <rPr>
        <sz val="11"/>
        <color theme="1"/>
        <rFont val="맑은 고딕"/>
        <family val="3"/>
        <charset val="129"/>
        <scheme val="minor"/>
      </rPr>
      <t xml:space="preserve"> 팀 선수단 리스트</t>
    </r>
    <phoneticPr fontId="3" type="noConversion"/>
  </si>
  <si>
    <r>
      <t xml:space="preserve">    내</t>
    </r>
    <r>
      <rPr>
        <sz val="11"/>
        <color theme="1"/>
        <rFont val="맑은 고딕"/>
        <family val="3"/>
        <charset val="129"/>
        <scheme val="minor"/>
      </rPr>
      <t xml:space="preserve"> 팀 순위 리스트</t>
    </r>
    <phoneticPr fontId="3" type="noConversion"/>
  </si>
  <si>
    <t xml:space="preserve">    전체 축구 기사 리스트</t>
    <phoneticPr fontId="3" type="noConversion"/>
  </si>
  <si>
    <t xml:space="preserve">    전체 축구 순위 리스트</t>
    <phoneticPr fontId="3" type="noConversion"/>
  </si>
  <si>
    <t xml:space="preserve">    전체 축구 일정 리스트</t>
    <phoneticPr fontId="3" type="noConversion"/>
  </si>
  <si>
    <t xml:space="preserve">      전체 축구 기사 상세 보기</t>
    <phoneticPr fontId="3" type="noConversion"/>
  </si>
  <si>
    <r>
      <t xml:space="preserve">  </t>
    </r>
    <r>
      <rPr>
        <b/>
        <sz val="11"/>
        <color theme="1"/>
        <rFont val="맑은 고딕"/>
        <family val="3"/>
        <charset val="129"/>
        <scheme val="minor"/>
      </rPr>
      <t>전체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축구 정보</t>
    </r>
    <phoneticPr fontId="3" type="noConversion"/>
  </si>
  <si>
    <t>USER_INFO</t>
    <phoneticPr fontId="3" type="noConversion"/>
  </si>
  <si>
    <t>USER_NO</t>
    <phoneticPr fontId="3" type="noConversion"/>
  </si>
  <si>
    <t>PASSWORD</t>
    <phoneticPr fontId="3" type="noConversion"/>
  </si>
  <si>
    <t>USER_EMAIL</t>
    <phoneticPr fontId="3" type="noConversion"/>
  </si>
  <si>
    <t>USER_NAME</t>
    <phoneticPr fontId="3" type="noConversion"/>
  </si>
  <si>
    <t>내 팀</t>
    <phoneticPr fontId="3" type="noConversion"/>
  </si>
  <si>
    <r>
      <t>U</t>
    </r>
    <r>
      <rPr>
        <sz val="10"/>
        <color rgb="FF000000"/>
        <rFont val="맑은 고딕"/>
        <family val="3"/>
        <charset val="129"/>
      </rPr>
      <t>SER_AUTHORITY</t>
    </r>
    <phoneticPr fontId="3" type="noConversion"/>
  </si>
  <si>
    <t>NOTI</t>
    <phoneticPr fontId="3" type="noConversion"/>
  </si>
  <si>
    <t>NOTI_NO</t>
    <phoneticPr fontId="3" type="noConversion"/>
  </si>
  <si>
    <t>전체 축구 일정</t>
    <phoneticPr fontId="3" type="noConversion"/>
  </si>
  <si>
    <t>TEAM_SOCCERNEWS</t>
    <phoneticPr fontId="3" type="noConversion"/>
  </si>
  <si>
    <r>
      <t>T</t>
    </r>
    <r>
      <rPr>
        <sz val="10"/>
        <color rgb="FF000000"/>
        <rFont val="맑은 고딕"/>
        <family val="2"/>
        <charset val="129"/>
      </rPr>
      <t>OTAL_SOCCERSCHEDULE</t>
    </r>
    <phoneticPr fontId="3" type="noConversion"/>
  </si>
  <si>
    <t>기사 번호</t>
    <phoneticPr fontId="3" type="noConversion"/>
  </si>
  <si>
    <t>기사 제목</t>
    <phoneticPr fontId="3" type="noConversion"/>
  </si>
  <si>
    <t>기사 내용</t>
    <phoneticPr fontId="3" type="noConversion"/>
  </si>
  <si>
    <t>기사 상세 링크</t>
    <phoneticPr fontId="3" type="noConversion"/>
  </si>
  <si>
    <t>기사 상세 제목</t>
    <phoneticPr fontId="3" type="noConversion"/>
  </si>
  <si>
    <t>기사 상세 내용</t>
    <phoneticPr fontId="3" type="noConversion"/>
  </si>
  <si>
    <t>내 팀 축구 기사</t>
    <phoneticPr fontId="3" type="noConversion"/>
  </si>
  <si>
    <t>전체 팀 축구 기사</t>
    <phoneticPr fontId="3" type="noConversion"/>
  </si>
  <si>
    <t>TOTAL_SOCCERNEWS</t>
    <phoneticPr fontId="3" type="noConversion"/>
  </si>
  <si>
    <t>회원번호</t>
    <phoneticPr fontId="3" type="noConversion"/>
  </si>
  <si>
    <t>varchar2</t>
  </si>
  <si>
    <t>varchar2</t>
    <phoneticPr fontId="3" type="noConversion"/>
  </si>
  <si>
    <t>회원정보.내 팀</t>
    <phoneticPr fontId="3" type="noConversion"/>
  </si>
  <si>
    <t>기사 제목</t>
    <phoneticPr fontId="3" type="noConversion"/>
  </si>
  <si>
    <t>내 팀</t>
    <phoneticPr fontId="3" type="noConversion"/>
  </si>
  <si>
    <t>내 팀 축구 선수단</t>
    <phoneticPr fontId="3" type="noConversion"/>
  </si>
  <si>
    <t>선수 번호</t>
    <phoneticPr fontId="3" type="noConversion"/>
  </si>
  <si>
    <t>선수명</t>
    <phoneticPr fontId="3" type="noConversion"/>
  </si>
  <si>
    <t>선수 사진</t>
    <phoneticPr fontId="3" type="noConversion"/>
  </si>
  <si>
    <t>선수 나이</t>
    <phoneticPr fontId="3" type="noConversion"/>
  </si>
  <si>
    <t>선수 포지션</t>
    <phoneticPr fontId="3" type="noConversion"/>
  </si>
  <si>
    <t>전체 축구 순위</t>
    <phoneticPr fontId="3" type="noConversion"/>
  </si>
  <si>
    <t>내 팀 축구 순위</t>
    <phoneticPr fontId="3" type="noConversion"/>
  </si>
  <si>
    <t>순위</t>
    <phoneticPr fontId="3" type="noConversion"/>
  </si>
  <si>
    <t>팀이름</t>
    <phoneticPr fontId="3" type="noConversion"/>
  </si>
  <si>
    <t>팀 로고</t>
    <phoneticPr fontId="3" type="noConversion"/>
  </si>
  <si>
    <t>총 경기수</t>
    <phoneticPr fontId="3" type="noConversion"/>
  </si>
  <si>
    <t>승리 경기수</t>
    <phoneticPr fontId="3" type="noConversion"/>
  </si>
  <si>
    <t>비긴 경기수</t>
    <phoneticPr fontId="3" type="noConversion"/>
  </si>
  <si>
    <t>진 경기수</t>
    <phoneticPr fontId="3" type="noConversion"/>
  </si>
  <si>
    <t>득점</t>
    <phoneticPr fontId="3" type="noConversion"/>
  </si>
  <si>
    <t>실점</t>
    <phoneticPr fontId="3" type="noConversion"/>
  </si>
  <si>
    <t>득실</t>
    <phoneticPr fontId="3" type="noConversion"/>
  </si>
  <si>
    <t>승점</t>
    <phoneticPr fontId="3" type="noConversion"/>
  </si>
  <si>
    <t>최근 경기기록</t>
    <phoneticPr fontId="3" type="noConversion"/>
  </si>
  <si>
    <t>USER_ID</t>
    <phoneticPr fontId="3" type="noConversion"/>
  </si>
  <si>
    <t>REG_DT</t>
    <phoneticPr fontId="3" type="noConversion"/>
  </si>
  <si>
    <t>REG_NO</t>
    <phoneticPr fontId="3" type="noConversion"/>
  </si>
  <si>
    <t>CHG_NO</t>
    <phoneticPr fontId="3" type="noConversion"/>
  </si>
  <si>
    <t>CHG_DT</t>
    <phoneticPr fontId="3" type="noConversion"/>
  </si>
  <si>
    <t>*</t>
    <phoneticPr fontId="3" type="noConversion"/>
  </si>
  <si>
    <t>REG_NO</t>
    <phoneticPr fontId="3" type="noConversion"/>
  </si>
  <si>
    <t>NEWS_NO</t>
    <phoneticPr fontId="3" type="noConversion"/>
  </si>
  <si>
    <t>TEAM</t>
    <phoneticPr fontId="3" type="noConversion"/>
  </si>
  <si>
    <t>NEWS_TITLE</t>
    <phoneticPr fontId="3" type="noConversion"/>
  </si>
  <si>
    <t>NEWS_CONTENT</t>
    <phoneticPr fontId="3" type="noConversion"/>
  </si>
  <si>
    <t>NEWS_LINK</t>
    <phoneticPr fontId="3" type="noConversion"/>
  </si>
  <si>
    <t>NEWS_TITLE_DETAIL</t>
    <phoneticPr fontId="3" type="noConversion"/>
  </si>
  <si>
    <t>NEWS_CONTENT_DETAIL</t>
    <phoneticPr fontId="3" type="noConversion"/>
  </si>
  <si>
    <t>CLOB</t>
    <phoneticPr fontId="3" type="noConversion"/>
  </si>
  <si>
    <t>*</t>
    <phoneticPr fontId="3" type="noConversion"/>
  </si>
  <si>
    <t>*</t>
    <phoneticPr fontId="3" type="noConversion"/>
  </si>
  <si>
    <t>*</t>
    <phoneticPr fontId="3" type="noConversion"/>
  </si>
  <si>
    <t>선수 팀 이름</t>
    <phoneticPr fontId="3" type="noConversion"/>
  </si>
  <si>
    <t>NEWS_TITLE</t>
    <phoneticPr fontId="3" type="noConversion"/>
  </si>
  <si>
    <t>NEWS_CONTENT</t>
    <phoneticPr fontId="3" type="noConversion"/>
  </si>
  <si>
    <t>NEWS_LINK</t>
    <phoneticPr fontId="3" type="noConversion"/>
  </si>
  <si>
    <t>PLAYER_NO</t>
    <phoneticPr fontId="3" type="noConversion"/>
  </si>
  <si>
    <t>PLAYER_TEAM</t>
    <phoneticPr fontId="3" type="noConversion"/>
  </si>
  <si>
    <t>PLAYER_NAME</t>
    <phoneticPr fontId="3" type="noConversion"/>
  </si>
  <si>
    <t>PLAYER_POSITION</t>
    <phoneticPr fontId="3" type="noConversion"/>
  </si>
  <si>
    <t>PLAYER_IMAGE</t>
    <phoneticPr fontId="3" type="noConversion"/>
  </si>
  <si>
    <t>PLAYER_AGE</t>
    <phoneticPr fontId="3" type="noConversion"/>
  </si>
  <si>
    <r>
      <t>T</t>
    </r>
    <r>
      <rPr>
        <sz val="10"/>
        <color rgb="FF000000"/>
        <rFont val="맑은 고딕"/>
        <family val="2"/>
        <charset val="129"/>
      </rPr>
      <t>EAM_SOCCERPLAYER</t>
    </r>
    <phoneticPr fontId="3" type="noConversion"/>
  </si>
  <si>
    <t>TEAM_SOCCERRANK</t>
    <phoneticPr fontId="3" type="noConversion"/>
  </si>
  <si>
    <t>RANK</t>
    <phoneticPr fontId="3" type="noConversion"/>
  </si>
  <si>
    <t>RANK_IMAGE</t>
    <phoneticPr fontId="3" type="noConversion"/>
  </si>
  <si>
    <t>RANK_TEAMNAME</t>
    <phoneticPr fontId="3" type="noConversion"/>
  </si>
  <si>
    <t>RANK_WINGAME</t>
    <phoneticPr fontId="3" type="noConversion"/>
  </si>
  <si>
    <t>RANK_TOTALGAME</t>
    <phoneticPr fontId="3" type="noConversion"/>
  </si>
  <si>
    <t>RANK_DRAWGAME</t>
    <phoneticPr fontId="3" type="noConversion"/>
  </si>
  <si>
    <t>RANK_LOSTGAME</t>
    <phoneticPr fontId="3" type="noConversion"/>
  </si>
  <si>
    <t>RANK_POINTS</t>
    <phoneticPr fontId="3" type="noConversion"/>
  </si>
  <si>
    <t>RANK_DIFF</t>
    <phoneticPr fontId="3" type="noConversion"/>
  </si>
  <si>
    <t>RANK_LOST</t>
    <phoneticPr fontId="3" type="noConversion"/>
  </si>
  <si>
    <t>RANK_GAME</t>
    <phoneticPr fontId="3" type="noConversion"/>
  </si>
  <si>
    <t>varchar2</t>
    <phoneticPr fontId="3" type="noConversion"/>
  </si>
  <si>
    <t>varchar2</t>
    <phoneticPr fontId="3" type="noConversion"/>
  </si>
  <si>
    <t>varchar2</t>
    <phoneticPr fontId="3" type="noConversion"/>
  </si>
  <si>
    <t>*</t>
    <phoneticPr fontId="3" type="noConversion"/>
  </si>
  <si>
    <t>*</t>
    <phoneticPr fontId="3" type="noConversion"/>
  </si>
  <si>
    <t>RANK_GOAL</t>
    <phoneticPr fontId="3" type="noConversion"/>
  </si>
  <si>
    <r>
      <t>T</t>
    </r>
    <r>
      <rPr>
        <sz val="10"/>
        <color rgb="FF000000"/>
        <rFont val="맑은 고딕"/>
        <family val="2"/>
        <charset val="129"/>
      </rPr>
      <t>OTAL_SOCCERRANK</t>
    </r>
    <phoneticPr fontId="3" type="noConversion"/>
  </si>
  <si>
    <t>*</t>
    <phoneticPr fontId="3" type="noConversion"/>
  </si>
  <si>
    <t>*</t>
    <phoneticPr fontId="3" type="noConversion"/>
  </si>
  <si>
    <t>일정 번호</t>
    <phoneticPr fontId="3" type="noConversion"/>
  </si>
  <si>
    <t>날짜</t>
    <phoneticPr fontId="3" type="noConversion"/>
  </si>
  <si>
    <t>시간</t>
    <phoneticPr fontId="3" type="noConversion"/>
  </si>
  <si>
    <t>홈팀명</t>
    <phoneticPr fontId="3" type="noConversion"/>
  </si>
  <si>
    <t>어웨이팀명</t>
    <phoneticPr fontId="3" type="noConversion"/>
  </si>
  <si>
    <t>홈팀 점수</t>
    <phoneticPr fontId="3" type="noConversion"/>
  </si>
  <si>
    <t>어웨이팀 점수</t>
    <phoneticPr fontId="3" type="noConversion"/>
  </si>
  <si>
    <t>SCHEDULE_NO</t>
    <phoneticPr fontId="3" type="noConversion"/>
  </si>
  <si>
    <t>SCHEDULE_DATE</t>
    <phoneticPr fontId="3" type="noConversion"/>
  </si>
  <si>
    <t>SCHEDULE_TIME</t>
    <phoneticPr fontId="3" type="noConversion"/>
  </si>
  <si>
    <t>SCHEDULE_HOMETEAM_NAME</t>
    <phoneticPr fontId="3" type="noConversion"/>
  </si>
  <si>
    <t>SCHEDULE_AWAYTEAM_NAME</t>
    <phoneticPr fontId="3" type="noConversion"/>
  </si>
  <si>
    <t>SCHEDULE_HOMETEAM_SCORE</t>
    <phoneticPr fontId="3" type="noConversion"/>
  </si>
  <si>
    <t>SCHEDULE_AWAYTEAM_SCORE</t>
    <phoneticPr fontId="3" type="noConversion"/>
  </si>
  <si>
    <r>
      <t>varchar</t>
    </r>
    <r>
      <rPr>
        <sz val="10"/>
        <color rgb="FF000000"/>
        <rFont val="맑은 고딕"/>
        <family val="3"/>
        <charset val="129"/>
      </rPr>
      <t>2</t>
    </r>
    <phoneticPr fontId="3" type="noConversion"/>
  </si>
  <si>
    <t>TEAM</t>
    <phoneticPr fontId="3" type="noConversion"/>
  </si>
  <si>
    <t>varchar2</t>
    <phoneticPr fontId="3" type="noConversion"/>
  </si>
  <si>
    <t>varchar2</t>
    <phoneticPr fontId="3" type="noConversion"/>
  </si>
  <si>
    <t xml:space="preserve"> 순위</t>
    <phoneticPr fontId="3" type="noConversion"/>
  </si>
  <si>
    <t>리그</t>
    <phoneticPr fontId="3" type="noConversion"/>
  </si>
  <si>
    <t>팀이름</t>
    <phoneticPr fontId="3" type="noConversion"/>
  </si>
  <si>
    <t>총 경기수</t>
    <phoneticPr fontId="3" type="noConversion"/>
  </si>
  <si>
    <t>승리 경기수</t>
    <phoneticPr fontId="3" type="noConversion"/>
  </si>
  <si>
    <t>비긴 경기수</t>
    <phoneticPr fontId="3" type="noConversion"/>
  </si>
  <si>
    <t>진 경기수</t>
    <phoneticPr fontId="3" type="noConversion"/>
  </si>
  <si>
    <t>득실</t>
    <phoneticPr fontId="3" type="noConversion"/>
  </si>
  <si>
    <t>승점</t>
    <phoneticPr fontId="3" type="noConversion"/>
  </si>
  <si>
    <t>RANK</t>
    <phoneticPr fontId="3" type="noConversion"/>
  </si>
  <si>
    <t>RANK_LEAGUE</t>
    <phoneticPr fontId="3" type="noConversion"/>
  </si>
  <si>
    <t>RANK_TEAMNAME</t>
    <phoneticPr fontId="3" type="noConversion"/>
  </si>
  <si>
    <t>RANK_TOTALGAME</t>
    <phoneticPr fontId="3" type="noConversion"/>
  </si>
  <si>
    <t>RANK_DRAWGAME</t>
    <phoneticPr fontId="3" type="noConversion"/>
  </si>
  <si>
    <t>RANK_LOSTGAME</t>
    <phoneticPr fontId="3" type="noConversion"/>
  </si>
  <si>
    <t>RANK_DIFF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</si>
</sst>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/mm/dd"/>
  </numFmts>
  <fonts count="26">
    <font>
      <sz val="11"/>
      <color theme="1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rgb="FF000000"/>
      <name val="Malgun Gothic"/>
      <family val="2"/>
      <charset val="129"/>
    </font>
    <font>
      <sz val="11"/>
      <color rgb="FF000000"/>
      <name val="Malgun Gothic"/>
      <family val="2"/>
      <charset val="129"/>
    </font>
    <font>
      <sz val="11"/>
      <color rgb="FF000000"/>
      <name val="Arial"/>
      <family val="2"/>
    </font>
    <font>
      <b/>
      <sz val="11"/>
      <color rgb="FF000000"/>
      <name val="Malgun Gothic"/>
      <family val="2"/>
      <charset val="129"/>
    </font>
    <font>
      <sz val="11"/>
      <color rgb="FF000000"/>
      <name val="ＭＳ Ｐゴシック"/>
      <family val="2"/>
      <charset val="128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sz val="32"/>
      <color theme="1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b/>
      <sz val="10"/>
      <color rgb="FF000000"/>
      <name val="맑은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5B9BD5"/>
        <bgColor rgb="FF5B9BD5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5B9BD5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theme="5" tint="0.79995117038483843"/>
        <bgColor theme="5" tint="0.79995117038483843"/>
      </patternFill>
    </fill>
    <fill>
      <patternFill patternType="solid">
        <fgColor theme="4" tint="0.79995117038483843"/>
        <bgColor theme="4" tint="0.7999511703848384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9" fontId="0" fillId="0" borderId="1" xfId="0" applyNumberFormat="1" applyBorder="1" applyAlignment="1" applyProtection="1">
      <alignment horizontal="right"/>
      <protection locked="0"/>
    </xf>
    <xf numFmtId="0" fontId="4" fillId="0" borderId="1" xfId="0" applyFont="1" applyBorder="1" applyProtection="1">
      <alignment vertical="center"/>
      <protection locked="0"/>
    </xf>
    <xf numFmtId="0" fontId="8" fillId="6" borderId="1" xfId="0" applyFont="1" applyFill="1" applyBorder="1" applyAlignment="1" applyProtection="1">
      <protection locked="0"/>
    </xf>
    <xf numFmtId="176" fontId="6" fillId="6" borderId="1" xfId="0" applyNumberFormat="1" applyFont="1" applyFill="1" applyBorder="1" applyAlignment="1" applyProtection="1">
      <alignment horizontal="left"/>
      <protection locked="0"/>
    </xf>
    <xf numFmtId="176" fontId="6" fillId="6" borderId="1" xfId="0" applyNumberFormat="1" applyFont="1" applyFill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right"/>
    </xf>
    <xf numFmtId="9" fontId="0" fillId="0" borderId="1" xfId="0" applyNumberFormat="1" applyBorder="1" applyAlignment="1" applyProtection="1">
      <alignment horizontal="right"/>
    </xf>
    <xf numFmtId="0" fontId="6" fillId="6" borderId="1" xfId="0" applyFont="1" applyFill="1" applyBorder="1" applyAlignment="1" applyProtection="1">
      <alignment horizontal="right" wrapText="1"/>
    </xf>
    <xf numFmtId="9" fontId="6" fillId="6" borderId="1" xfId="0" applyNumberFormat="1" applyFont="1" applyFill="1" applyBorder="1" applyAlignment="1" applyProtection="1">
      <alignment horizontal="right" wrapText="1"/>
    </xf>
    <xf numFmtId="0" fontId="0" fillId="0" borderId="0" xfId="0" applyAlignment="1" applyProtection="1">
      <alignment horizontal="right"/>
    </xf>
    <xf numFmtId="9" fontId="0" fillId="0" borderId="0" xfId="0" applyNumberFormat="1" applyAlignment="1" applyProtection="1">
      <alignment horizontal="right"/>
    </xf>
    <xf numFmtId="0" fontId="0" fillId="0" borderId="1" xfId="0" applyBorder="1" applyProtection="1">
      <alignment vertical="center"/>
    </xf>
    <xf numFmtId="176" fontId="6" fillId="6" borderId="1" xfId="0" applyNumberFormat="1" applyFont="1" applyFill="1" applyBorder="1" applyAlignment="1" applyProtection="1">
      <alignment horizontal="left"/>
    </xf>
    <xf numFmtId="0" fontId="0" fillId="0" borderId="0" xfId="0" applyProtection="1">
      <alignment vertical="center"/>
    </xf>
    <xf numFmtId="0" fontId="5" fillId="5" borderId="1" xfId="0" applyFont="1" applyFill="1" applyBorder="1" applyAlignment="1" applyProtection="1">
      <alignment horizontal="center" vertical="center"/>
      <protection locked="0"/>
    </xf>
    <xf numFmtId="176" fontId="5" fillId="5" borderId="1" xfId="0" applyNumberFormat="1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protection locked="0"/>
    </xf>
    <xf numFmtId="9" fontId="7" fillId="6" borderId="1" xfId="0" applyNumberFormat="1" applyFont="1" applyFill="1" applyBorder="1" applyAlignment="1" applyProtection="1">
      <alignment horizontal="right"/>
    </xf>
    <xf numFmtId="0" fontId="8" fillId="9" borderId="1" xfId="0" applyFont="1" applyFill="1" applyBorder="1" applyAlignment="1" applyProtection="1">
      <protection locked="0"/>
    </xf>
    <xf numFmtId="0" fontId="6" fillId="7" borderId="1" xfId="0" applyFont="1" applyFill="1" applyBorder="1" applyAlignment="1" applyProtection="1">
      <protection locked="0"/>
    </xf>
    <xf numFmtId="176" fontId="6" fillId="7" borderId="1" xfId="0" applyNumberFormat="1" applyFont="1" applyFill="1" applyBorder="1" applyAlignment="1" applyProtection="1">
      <alignment horizontal="left"/>
    </xf>
    <xf numFmtId="176" fontId="6" fillId="7" borderId="1" xfId="0" applyNumberFormat="1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 applyProtection="1">
      <alignment horizontal="right" wrapText="1"/>
    </xf>
    <xf numFmtId="9" fontId="6" fillId="7" borderId="1" xfId="0" applyNumberFormat="1" applyFont="1" applyFill="1" applyBorder="1" applyAlignment="1" applyProtection="1">
      <alignment horizontal="right" wrapText="1"/>
    </xf>
    <xf numFmtId="0" fontId="0" fillId="0" borderId="1" xfId="0" applyFill="1" applyBorder="1" applyProtection="1">
      <alignment vertical="center"/>
    </xf>
    <xf numFmtId="0" fontId="4" fillId="8" borderId="1" xfId="0" applyFont="1" applyFill="1" applyBorder="1" applyProtection="1">
      <alignment vertical="center"/>
      <protection locked="0"/>
    </xf>
    <xf numFmtId="0" fontId="0" fillId="8" borderId="1" xfId="0" applyFill="1" applyBorder="1" applyProtection="1">
      <alignment vertical="center"/>
      <protection locked="0"/>
    </xf>
    <xf numFmtId="0" fontId="0" fillId="8" borderId="1" xfId="0" applyFill="1" applyBorder="1" applyProtection="1">
      <alignment vertical="center"/>
    </xf>
    <xf numFmtId="176" fontId="0" fillId="8" borderId="1" xfId="0" applyNumberFormat="1" applyFill="1" applyBorder="1" applyProtection="1">
      <alignment vertical="center"/>
      <protection locked="0"/>
    </xf>
    <xf numFmtId="0" fontId="0" fillId="8" borderId="1" xfId="0" applyFill="1" applyBorder="1" applyAlignment="1" applyProtection="1">
      <alignment horizontal="right"/>
    </xf>
    <xf numFmtId="9" fontId="0" fillId="8" borderId="1" xfId="0" applyNumberFormat="1" applyFill="1" applyBorder="1" applyAlignment="1" applyProtection="1">
      <alignment horizontal="right"/>
    </xf>
    <xf numFmtId="0" fontId="5" fillId="5" borderId="1" xfId="0" applyFont="1" applyFill="1" applyBorder="1" applyAlignment="1" applyProtection="1">
      <alignment horizontal="center"/>
      <protection locked="0"/>
    </xf>
    <xf numFmtId="9" fontId="5" fillId="5" borderId="1" xfId="0" applyNumberFormat="1" applyFont="1" applyFill="1" applyBorder="1" applyAlignment="1" applyProtection="1">
      <alignment horizontal="center" vertical="center"/>
      <protection locked="0"/>
    </xf>
    <xf numFmtId="9" fontId="0" fillId="0" borderId="1" xfId="0" applyNumberFormat="1" applyFill="1" applyBorder="1" applyAlignment="1" applyProtection="1">
      <alignment horizontal="right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" xfId="0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7" fillId="0" borderId="2" xfId="0" applyFont="1" applyBorder="1">
      <alignment vertical="center"/>
    </xf>
    <xf numFmtId="0" fontId="17" fillId="0" borderId="11" xfId="0" applyFont="1" applyBorder="1">
      <alignment vertical="center"/>
    </xf>
    <xf numFmtId="0" fontId="21" fillId="0" borderId="1" xfId="0" applyFont="1" applyBorder="1" applyProtection="1">
      <alignment vertical="center"/>
      <protection locked="0"/>
    </xf>
    <xf numFmtId="0" fontId="17" fillId="0" borderId="1" xfId="0" applyFont="1" applyBorder="1" applyProtection="1">
      <alignment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11" xfId="0" applyFont="1" applyFill="1" applyBorder="1">
      <alignment vertical="center"/>
    </xf>
    <xf numFmtId="0" fontId="22" fillId="0" borderId="3" xfId="0" applyFont="1" applyFill="1" applyBorder="1" applyProtection="1">
      <alignment vertical="center"/>
      <protection locked="0"/>
    </xf>
    <xf numFmtId="0" fontId="2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0" borderId="7" xfId="0" applyFont="1" applyBorder="1">
      <alignment vertical="center"/>
    </xf>
    <xf numFmtId="0" fontId="0" fillId="0" borderId="12" xfId="0" applyBorder="1">
      <alignment vertical="center"/>
    </xf>
    <xf numFmtId="0" fontId="17" fillId="0" borderId="1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7" fillId="0" borderId="10" xfId="0" applyFont="1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11" xfId="0" applyBorder="1">
      <alignment vertical="center"/>
    </xf>
    <xf numFmtId="0" fontId="17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1" xfId="0" applyFont="1" applyBorder="1">
      <alignment vertical="center"/>
    </xf>
    <xf numFmtId="0" fontId="17" fillId="0" borderId="4" xfId="0" applyFont="1" applyBorder="1">
      <alignment vertical="center"/>
    </xf>
    <xf numFmtId="0" fontId="14" fillId="11" borderId="2" xfId="1" applyFont="1" applyFill="1" applyBorder="1" applyAlignment="1">
      <alignment horizontal="center" vertical="center" wrapText="1"/>
    </xf>
    <xf numFmtId="0" fontId="15" fillId="12" borderId="11" xfId="1" applyFont="1" applyFill="1" applyBorder="1" applyAlignment="1">
      <alignment horizontal="center" vertical="center" wrapText="1"/>
    </xf>
    <xf numFmtId="0" fontId="19" fillId="12" borderId="11" xfId="1" applyFont="1" applyFill="1" applyBorder="1" applyAlignment="1">
      <alignment horizontal="center" vertical="center" wrapText="1"/>
    </xf>
    <xf numFmtId="0" fontId="15" fillId="12" borderId="11" xfId="1" applyFont="1" applyFill="1" applyBorder="1" applyAlignment="1">
      <alignment vertical="center" wrapText="1"/>
    </xf>
    <xf numFmtId="0" fontId="12" fillId="0" borderId="11" xfId="0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11" xfId="1" applyFont="1" applyBorder="1" applyAlignment="1">
      <alignment vertical="center" wrapText="1"/>
    </xf>
    <xf numFmtId="0" fontId="12" fillId="12" borderId="11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20" fillId="13" borderId="11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left" vertical="center"/>
    </xf>
    <xf numFmtId="0" fontId="18" fillId="0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9" fillId="0" borderId="11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5" fillId="0" borderId="11" xfId="1" applyFont="1" applyFill="1" applyBorder="1" applyAlignment="1">
      <alignment horizontal="center" vertical="center" wrapText="1"/>
    </xf>
    <xf numFmtId="0" fontId="15" fillId="0" borderId="11" xfId="1" applyFont="1" applyFill="1" applyBorder="1" applyAlignment="1">
      <alignment horizontal="center" vertical="center" wrapText="1"/>
    </xf>
    <xf numFmtId="0" fontId="15" fillId="0" borderId="8" xfId="1" applyFont="1" applyFill="1" applyBorder="1" applyAlignment="1">
      <alignment horizontal="center" vertical="center" wrapText="1"/>
    </xf>
    <xf numFmtId="0" fontId="15" fillId="0" borderId="9" xfId="1" applyFont="1" applyFill="1" applyBorder="1" applyAlignment="1">
      <alignment horizontal="center" vertical="center" wrapText="1"/>
    </xf>
    <xf numFmtId="0" fontId="15" fillId="0" borderId="10" xfId="1" applyFont="1" applyFill="1" applyBorder="1" applyAlignment="1">
      <alignment horizontal="center" vertical="center" wrapText="1"/>
    </xf>
    <xf numFmtId="0" fontId="25" fillId="0" borderId="8" xfId="1" applyFont="1" applyFill="1" applyBorder="1" applyAlignment="1">
      <alignment horizontal="center" vertical="center" wrapText="1"/>
    </xf>
    <xf numFmtId="0" fontId="25" fillId="0" borderId="9" xfId="1" applyFont="1" applyFill="1" applyBorder="1" applyAlignment="1">
      <alignment horizontal="center" vertical="center" wrapText="1"/>
    </xf>
    <xf numFmtId="0" fontId="25" fillId="0" borderId="10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4" fillId="0" borderId="11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</cellXfs>
  <cellStyles count="4">
    <cellStyle name="열어 본 하이퍼링크" xfId="3" builtinId="9" hidden="1"/>
    <cellStyle name="표준" xfId="0" builtinId="0"/>
    <cellStyle name="표준 4" xfId="1"/>
    <cellStyle name="하이퍼링크" xfId="2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543820</xdr:colOff>
      <xdr:row>33</xdr:row>
      <xdr:rowOff>20018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11220" cy="6935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4" zoomScaleNormal="100" workbookViewId="0">
      <selection activeCell="G33" sqref="G33"/>
    </sheetView>
  </sheetViews>
  <sheetFormatPr defaultColWidth="8.875" defaultRowHeight="16.5"/>
  <cols>
    <col min="1" max="1" width="4.875" customWidth="1"/>
    <col min="2" max="2" width="15.625" customWidth="1"/>
    <col min="3" max="3" width="23" customWidth="1"/>
    <col min="4" max="4" width="32.875" customWidth="1"/>
    <col min="5" max="5" width="14.625" customWidth="1"/>
    <col min="6" max="6" width="24.875" customWidth="1"/>
    <col min="7" max="7" width="17.625" customWidth="1"/>
    <col min="8" max="9" width="8.625" customWidth="1"/>
  </cols>
  <sheetData>
    <row r="1" spans="1:9">
      <c r="A1" s="48" t="s">
        <v>97</v>
      </c>
      <c r="B1" s="48"/>
      <c r="C1" s="48"/>
      <c r="D1" s="48"/>
      <c r="E1" s="48"/>
      <c r="F1" s="48"/>
      <c r="G1" s="48"/>
      <c r="H1" s="48"/>
      <c r="I1" s="48"/>
    </row>
    <row r="2" spans="1:9">
      <c r="A2" s="46" t="s">
        <v>80</v>
      </c>
      <c r="B2" s="106" t="s">
        <v>10</v>
      </c>
      <c r="C2" s="106"/>
      <c r="D2" s="106"/>
      <c r="E2" s="46" t="s">
        <v>11</v>
      </c>
      <c r="F2" s="46" t="s">
        <v>12</v>
      </c>
      <c r="G2" s="46" t="s">
        <v>13</v>
      </c>
      <c r="H2" s="46" t="s">
        <v>14</v>
      </c>
      <c r="I2" s="46" t="s">
        <v>1</v>
      </c>
    </row>
    <row r="3" spans="1:9">
      <c r="A3" s="46"/>
      <c r="B3" s="46" t="s">
        <v>15</v>
      </c>
      <c r="C3" s="46" t="s">
        <v>16</v>
      </c>
      <c r="D3" s="46" t="s">
        <v>17</v>
      </c>
      <c r="E3" s="46"/>
      <c r="F3" s="46"/>
      <c r="G3" s="46"/>
      <c r="H3" s="46"/>
      <c r="I3" s="46"/>
    </row>
    <row r="4" spans="1:9">
      <c r="A4" s="1">
        <f t="shared" ref="A4:A21" si="0">ROW()-3</f>
        <v>1</v>
      </c>
      <c r="B4" s="44" t="s">
        <v>81</v>
      </c>
      <c r="C4" s="44"/>
      <c r="D4" s="44"/>
      <c r="E4" s="1" t="s">
        <v>109</v>
      </c>
      <c r="F4" s="1" t="s">
        <v>81</v>
      </c>
      <c r="G4" s="1" t="s">
        <v>82</v>
      </c>
      <c r="H4" s="1"/>
      <c r="I4" s="1" t="s">
        <v>101</v>
      </c>
    </row>
    <row r="5" spans="1:9">
      <c r="A5" s="1">
        <f t="shared" si="0"/>
        <v>2</v>
      </c>
      <c r="B5" s="105" t="s">
        <v>130</v>
      </c>
      <c r="C5" s="105" t="s">
        <v>74</v>
      </c>
      <c r="D5" s="44" t="s">
        <v>98</v>
      </c>
      <c r="E5" s="1" t="s">
        <v>110</v>
      </c>
      <c r="F5" s="1" t="s">
        <v>98</v>
      </c>
      <c r="G5" s="1" t="s">
        <v>84</v>
      </c>
      <c r="H5" s="1"/>
      <c r="I5" s="1" t="s">
        <v>101</v>
      </c>
    </row>
    <row r="6" spans="1:9">
      <c r="A6" s="1">
        <f t="shared" si="0"/>
        <v>3</v>
      </c>
      <c r="B6" s="100"/>
      <c r="C6" s="101"/>
      <c r="D6" s="44" t="s">
        <v>99</v>
      </c>
      <c r="E6" s="1" t="s">
        <v>111</v>
      </c>
      <c r="F6" s="1" t="s">
        <v>99</v>
      </c>
      <c r="G6" s="1" t="s">
        <v>84</v>
      </c>
      <c r="H6" s="1"/>
      <c r="I6" s="1" t="s">
        <v>97</v>
      </c>
    </row>
    <row r="7" spans="1:9">
      <c r="A7" s="1">
        <f t="shared" si="0"/>
        <v>4</v>
      </c>
      <c r="B7" s="100"/>
      <c r="C7" s="44" t="s">
        <v>68</v>
      </c>
      <c r="D7" s="44" t="s">
        <v>100</v>
      </c>
      <c r="E7" s="1" t="s">
        <v>112</v>
      </c>
      <c r="F7" s="1" t="s">
        <v>100</v>
      </c>
      <c r="G7" s="1" t="s">
        <v>84</v>
      </c>
      <c r="H7" s="1"/>
      <c r="I7" s="1" t="s">
        <v>101</v>
      </c>
    </row>
    <row r="8" spans="1:9">
      <c r="A8" s="1">
        <f t="shared" si="0"/>
        <v>5</v>
      </c>
      <c r="B8" s="100"/>
      <c r="C8" s="44" t="s">
        <v>85</v>
      </c>
      <c r="D8" s="44"/>
      <c r="E8" s="1" t="s">
        <v>113</v>
      </c>
      <c r="F8" s="1" t="s">
        <v>85</v>
      </c>
      <c r="G8" s="1" t="s">
        <v>82</v>
      </c>
      <c r="H8" s="1"/>
      <c r="I8" s="1" t="s">
        <v>97</v>
      </c>
    </row>
    <row r="9" spans="1:9">
      <c r="A9" s="1">
        <f t="shared" si="0"/>
        <v>6</v>
      </c>
      <c r="B9" s="100"/>
      <c r="C9" s="47" t="s">
        <v>86</v>
      </c>
      <c r="D9" s="44"/>
      <c r="E9" s="1" t="s">
        <v>114</v>
      </c>
      <c r="F9" s="79" t="s">
        <v>236</v>
      </c>
      <c r="G9" s="1" t="s">
        <v>84</v>
      </c>
      <c r="H9" s="1"/>
      <c r="I9" s="1" t="s">
        <v>101</v>
      </c>
    </row>
    <row r="10" spans="1:9">
      <c r="A10" s="1">
        <f t="shared" si="0"/>
        <v>7</v>
      </c>
      <c r="B10" s="100"/>
      <c r="C10" s="47" t="s">
        <v>87</v>
      </c>
      <c r="D10" s="44" t="s">
        <v>106</v>
      </c>
      <c r="E10" s="1" t="s">
        <v>115</v>
      </c>
      <c r="F10" s="1" t="s">
        <v>106</v>
      </c>
      <c r="G10" s="1" t="s">
        <v>88</v>
      </c>
      <c r="H10" s="1"/>
      <c r="I10" s="1" t="s">
        <v>97</v>
      </c>
    </row>
    <row r="11" spans="1:9">
      <c r="A11" s="1">
        <f t="shared" si="0"/>
        <v>8</v>
      </c>
      <c r="B11" s="100"/>
      <c r="C11" s="44" t="s">
        <v>91</v>
      </c>
      <c r="D11" s="44"/>
      <c r="E11" s="1" t="s">
        <v>116</v>
      </c>
      <c r="F11" s="1" t="s">
        <v>91</v>
      </c>
      <c r="G11" s="1" t="s">
        <v>84</v>
      </c>
      <c r="H11" s="1"/>
      <c r="I11" s="1" t="s">
        <v>97</v>
      </c>
    </row>
    <row r="12" spans="1:9">
      <c r="A12" s="1">
        <f t="shared" si="0"/>
        <v>9</v>
      </c>
      <c r="B12" s="100"/>
      <c r="C12" s="44" t="s">
        <v>76</v>
      </c>
      <c r="D12" s="44" t="s">
        <v>107</v>
      </c>
      <c r="E12" s="1" t="s">
        <v>117</v>
      </c>
      <c r="F12" s="1" t="s">
        <v>108</v>
      </c>
      <c r="G12" s="1" t="s">
        <v>84</v>
      </c>
      <c r="H12" s="1"/>
      <c r="I12" s="1" t="s">
        <v>101</v>
      </c>
    </row>
    <row r="13" spans="1:9">
      <c r="A13" s="1">
        <f t="shared" si="0"/>
        <v>10</v>
      </c>
      <c r="B13" s="101"/>
      <c r="C13" s="62" t="s">
        <v>77</v>
      </c>
      <c r="D13" s="62"/>
      <c r="E13" s="1" t="s">
        <v>118</v>
      </c>
      <c r="F13" s="1" t="s">
        <v>77</v>
      </c>
      <c r="G13" s="1" t="s">
        <v>92</v>
      </c>
      <c r="H13" s="1"/>
      <c r="I13" s="1" t="s">
        <v>97</v>
      </c>
    </row>
    <row r="14" spans="1:9">
      <c r="A14" s="1">
        <f t="shared" si="0"/>
        <v>11</v>
      </c>
      <c r="B14" s="107" t="s">
        <v>211</v>
      </c>
      <c r="C14" s="70" t="s">
        <v>203</v>
      </c>
      <c r="D14" s="70" t="s">
        <v>206</v>
      </c>
      <c r="E14" s="72" t="s">
        <v>207</v>
      </c>
      <c r="F14" s="79" t="s">
        <v>213</v>
      </c>
      <c r="G14" s="79" t="s">
        <v>231</v>
      </c>
      <c r="H14" s="1"/>
      <c r="I14" s="1" t="s">
        <v>97</v>
      </c>
    </row>
    <row r="15" spans="1:9">
      <c r="A15" s="1">
        <f t="shared" si="0"/>
        <v>12</v>
      </c>
      <c r="B15" s="108"/>
      <c r="C15" s="70" t="s">
        <v>204</v>
      </c>
      <c r="D15" s="71"/>
      <c r="E15" s="72" t="s">
        <v>208</v>
      </c>
      <c r="F15" s="79" t="s">
        <v>212</v>
      </c>
      <c r="G15" s="79" t="s">
        <v>232</v>
      </c>
      <c r="H15" s="1"/>
      <c r="I15" s="1" t="s">
        <v>97</v>
      </c>
    </row>
    <row r="16" spans="1:9">
      <c r="A16" s="1">
        <f t="shared" si="0"/>
        <v>13</v>
      </c>
      <c r="B16" s="108"/>
      <c r="C16" s="70" t="s">
        <v>205</v>
      </c>
      <c r="D16" s="71"/>
      <c r="E16" s="72" t="s">
        <v>209</v>
      </c>
      <c r="F16" s="79" t="s">
        <v>214</v>
      </c>
      <c r="G16" s="79" t="s">
        <v>233</v>
      </c>
      <c r="H16" s="1"/>
      <c r="I16" s="79" t="s">
        <v>229</v>
      </c>
    </row>
    <row r="17" spans="1:9">
      <c r="A17" s="73">
        <f>ROW()-3</f>
        <v>14</v>
      </c>
      <c r="B17" s="109" t="s">
        <v>210</v>
      </c>
      <c r="C17" s="74" t="s">
        <v>223</v>
      </c>
      <c r="D17" s="55" t="s">
        <v>226</v>
      </c>
      <c r="E17" s="58" t="s">
        <v>218</v>
      </c>
      <c r="F17" s="80" t="s">
        <v>215</v>
      </c>
      <c r="G17" s="80" t="s">
        <v>234</v>
      </c>
      <c r="H17" s="49"/>
      <c r="I17" s="49" t="s">
        <v>9</v>
      </c>
    </row>
    <row r="18" spans="1:9">
      <c r="A18" s="78">
        <f>ROW()-3</f>
        <v>15</v>
      </c>
      <c r="B18" s="110"/>
      <c r="C18" s="70" t="s">
        <v>224</v>
      </c>
      <c r="D18" s="70"/>
      <c r="E18" s="59" t="s">
        <v>219</v>
      </c>
      <c r="F18" s="81" t="s">
        <v>216</v>
      </c>
      <c r="G18" s="81" t="s">
        <v>232</v>
      </c>
      <c r="H18" s="78"/>
      <c r="I18" s="59" t="s">
        <v>230</v>
      </c>
    </row>
    <row r="19" spans="1:9">
      <c r="A19" s="78">
        <f>ROW()-3</f>
        <v>16</v>
      </c>
      <c r="B19" s="111"/>
      <c r="C19" s="70" t="s">
        <v>225</v>
      </c>
      <c r="D19" s="70"/>
      <c r="E19" s="59" t="s">
        <v>220</v>
      </c>
      <c r="F19" s="81" t="s">
        <v>217</v>
      </c>
      <c r="G19" s="81" t="s">
        <v>235</v>
      </c>
      <c r="H19" s="78"/>
      <c r="I19" s="59" t="s">
        <v>230</v>
      </c>
    </row>
    <row r="20" spans="1:9">
      <c r="A20" s="75">
        <f t="shared" si="0"/>
        <v>17</v>
      </c>
      <c r="B20" s="100" t="s">
        <v>135</v>
      </c>
      <c r="C20" s="63" t="s">
        <v>104</v>
      </c>
      <c r="D20" s="63"/>
      <c r="E20" s="76" t="s">
        <v>221</v>
      </c>
      <c r="F20" s="77" t="s">
        <v>104</v>
      </c>
      <c r="G20" s="82" t="s">
        <v>227</v>
      </c>
      <c r="H20" s="75"/>
      <c r="I20" s="75" t="s">
        <v>97</v>
      </c>
    </row>
    <row r="21" spans="1:9">
      <c r="A21" s="1">
        <f t="shared" si="0"/>
        <v>18</v>
      </c>
      <c r="B21" s="101"/>
      <c r="C21" s="44" t="s">
        <v>105</v>
      </c>
      <c r="D21" s="56"/>
      <c r="E21" s="64" t="s">
        <v>222</v>
      </c>
      <c r="F21" s="57" t="s">
        <v>105</v>
      </c>
      <c r="G21" s="79" t="s">
        <v>228</v>
      </c>
      <c r="H21" s="1"/>
      <c r="I21" s="1" t="s">
        <v>97</v>
      </c>
    </row>
    <row r="23" spans="1:9">
      <c r="A23" t="s">
        <v>67</v>
      </c>
    </row>
    <row r="24" spans="1:9">
      <c r="A24" s="46" t="s">
        <v>80</v>
      </c>
      <c r="B24" s="102" t="s">
        <v>10</v>
      </c>
      <c r="C24" s="103"/>
      <c r="D24" s="104"/>
      <c r="E24" s="46" t="s">
        <v>11</v>
      </c>
      <c r="F24" s="46" t="s">
        <v>12</v>
      </c>
      <c r="G24" s="46" t="s">
        <v>13</v>
      </c>
      <c r="H24" s="46" t="s">
        <v>14</v>
      </c>
      <c r="I24" s="46" t="s">
        <v>1</v>
      </c>
    </row>
    <row r="25" spans="1:9">
      <c r="A25" s="46"/>
      <c r="B25" s="46" t="s">
        <v>15</v>
      </c>
      <c r="C25" s="46" t="s">
        <v>16</v>
      </c>
      <c r="D25" s="46" t="s">
        <v>17</v>
      </c>
      <c r="E25" s="46"/>
      <c r="F25" s="46"/>
      <c r="G25" s="46"/>
      <c r="H25" s="46"/>
      <c r="I25" s="46"/>
    </row>
    <row r="26" spans="1:9">
      <c r="A26" s="1">
        <f t="shared" ref="A26:A37" si="1">ROW()-24</f>
        <v>2</v>
      </c>
      <c r="B26" s="1" t="s">
        <v>81</v>
      </c>
      <c r="C26" s="1"/>
      <c r="D26" s="1"/>
      <c r="E26" s="1" t="s">
        <v>119</v>
      </c>
      <c r="F26" s="1" t="s">
        <v>81</v>
      </c>
      <c r="G26" s="1" t="s">
        <v>82</v>
      </c>
      <c r="H26" s="1"/>
      <c r="I26" s="1" t="s">
        <v>67</v>
      </c>
    </row>
    <row r="27" spans="1:9">
      <c r="A27" s="1">
        <f t="shared" si="1"/>
        <v>3</v>
      </c>
      <c r="B27" s="105" t="s">
        <v>83</v>
      </c>
      <c r="C27" s="44" t="s">
        <v>68</v>
      </c>
      <c r="D27" s="1"/>
      <c r="E27" s="1" t="s">
        <v>120</v>
      </c>
      <c r="F27" s="1" t="s">
        <v>68</v>
      </c>
      <c r="G27" s="1" t="s">
        <v>84</v>
      </c>
      <c r="H27" s="1"/>
      <c r="I27" s="1" t="s">
        <v>67</v>
      </c>
    </row>
    <row r="28" spans="1:9">
      <c r="A28" s="1">
        <f t="shared" si="1"/>
        <v>4</v>
      </c>
      <c r="B28" s="100"/>
      <c r="C28" s="44" t="s">
        <v>85</v>
      </c>
      <c r="D28" s="1"/>
      <c r="E28" s="1" t="s">
        <v>121</v>
      </c>
      <c r="F28" s="1" t="s">
        <v>85</v>
      </c>
      <c r="G28" s="1" t="s">
        <v>82</v>
      </c>
      <c r="H28" s="1"/>
      <c r="I28" s="1" t="s">
        <v>67</v>
      </c>
    </row>
    <row r="29" spans="1:9">
      <c r="A29" s="1">
        <f t="shared" si="1"/>
        <v>5</v>
      </c>
      <c r="B29" s="100"/>
      <c r="C29" s="44" t="s">
        <v>86</v>
      </c>
      <c r="D29" s="1"/>
      <c r="E29" s="1" t="s">
        <v>122</v>
      </c>
      <c r="F29" s="1" t="s">
        <v>86</v>
      </c>
      <c r="G29" s="1" t="s">
        <v>84</v>
      </c>
      <c r="H29" s="1"/>
      <c r="I29" s="1" t="s">
        <v>67</v>
      </c>
    </row>
    <row r="30" spans="1:9">
      <c r="A30" s="1">
        <f t="shared" si="1"/>
        <v>6</v>
      </c>
      <c r="B30" s="100"/>
      <c r="C30" s="44" t="s">
        <v>87</v>
      </c>
      <c r="D30" s="1"/>
      <c r="E30" s="1" t="s">
        <v>123</v>
      </c>
      <c r="F30" s="1" t="s">
        <v>87</v>
      </c>
      <c r="G30" s="1" t="s">
        <v>88</v>
      </c>
      <c r="H30" s="1"/>
      <c r="I30" s="1" t="s">
        <v>67</v>
      </c>
    </row>
    <row r="31" spans="1:9">
      <c r="A31" s="1">
        <f t="shared" si="1"/>
        <v>7</v>
      </c>
      <c r="B31" s="100"/>
      <c r="C31" s="44" t="s">
        <v>89</v>
      </c>
      <c r="D31" s="1"/>
      <c r="E31" s="1" t="s">
        <v>124</v>
      </c>
      <c r="F31" s="1" t="s">
        <v>89</v>
      </c>
      <c r="G31" s="1" t="s">
        <v>90</v>
      </c>
      <c r="H31" s="1"/>
      <c r="I31" s="1" t="s">
        <v>67</v>
      </c>
    </row>
    <row r="32" spans="1:9">
      <c r="A32" s="1">
        <f t="shared" si="1"/>
        <v>8</v>
      </c>
      <c r="B32" s="100"/>
      <c r="C32" s="44" t="s">
        <v>91</v>
      </c>
      <c r="D32" s="1"/>
      <c r="E32" s="1" t="s">
        <v>125</v>
      </c>
      <c r="F32" s="1" t="s">
        <v>91</v>
      </c>
      <c r="G32" s="1" t="s">
        <v>84</v>
      </c>
      <c r="H32" s="1"/>
      <c r="I32" s="1" t="s">
        <v>67</v>
      </c>
    </row>
    <row r="33" spans="1:9">
      <c r="A33" s="1">
        <f t="shared" si="1"/>
        <v>9</v>
      </c>
      <c r="B33" s="101"/>
      <c r="C33" s="44" t="s">
        <v>76</v>
      </c>
      <c r="D33" s="1"/>
      <c r="E33" s="1" t="s">
        <v>126</v>
      </c>
      <c r="F33" s="1" t="s">
        <v>76</v>
      </c>
      <c r="G33" s="1" t="s">
        <v>88</v>
      </c>
      <c r="H33" s="1"/>
      <c r="I33" s="1" t="s">
        <v>67</v>
      </c>
    </row>
    <row r="34" spans="1:9">
      <c r="A34" s="1">
        <f t="shared" si="1"/>
        <v>10</v>
      </c>
      <c r="B34" s="105" t="s">
        <v>71</v>
      </c>
      <c r="C34" s="44" t="s">
        <v>96</v>
      </c>
      <c r="D34" s="1"/>
      <c r="E34" s="1" t="s">
        <v>127</v>
      </c>
      <c r="F34" s="1" t="s">
        <v>94</v>
      </c>
      <c r="G34" s="1" t="s">
        <v>84</v>
      </c>
      <c r="H34" s="1"/>
      <c r="I34" s="1" t="s">
        <v>67</v>
      </c>
    </row>
    <row r="35" spans="1:9">
      <c r="A35" s="1">
        <f t="shared" si="1"/>
        <v>11</v>
      </c>
      <c r="B35" s="100"/>
      <c r="C35" s="44" t="s">
        <v>104</v>
      </c>
      <c r="D35" s="1"/>
      <c r="E35" s="1" t="s">
        <v>128</v>
      </c>
      <c r="F35" s="1" t="s">
        <v>95</v>
      </c>
      <c r="G35" s="1" t="s">
        <v>93</v>
      </c>
      <c r="H35" s="1"/>
      <c r="I35" s="1" t="s">
        <v>67</v>
      </c>
    </row>
    <row r="36" spans="1:9">
      <c r="A36" s="1">
        <f t="shared" si="1"/>
        <v>12</v>
      </c>
      <c r="B36" s="100"/>
      <c r="C36" s="51" t="s">
        <v>131</v>
      </c>
      <c r="D36" s="49"/>
      <c r="E36" s="49" t="s">
        <v>129</v>
      </c>
      <c r="F36" s="49" t="s">
        <v>96</v>
      </c>
      <c r="G36" s="49" t="s">
        <v>84</v>
      </c>
      <c r="H36" s="49"/>
      <c r="I36" s="49" t="s">
        <v>67</v>
      </c>
    </row>
    <row r="37" spans="1:9">
      <c r="A37" s="1">
        <f t="shared" si="1"/>
        <v>13</v>
      </c>
      <c r="B37" s="101"/>
      <c r="C37" s="45" t="s">
        <v>132</v>
      </c>
      <c r="D37" s="1"/>
      <c r="E37" s="1" t="s">
        <v>133</v>
      </c>
      <c r="F37" s="50" t="s">
        <v>132</v>
      </c>
      <c r="G37" s="1" t="s">
        <v>134</v>
      </c>
      <c r="H37" s="1"/>
      <c r="I37" s="1" t="s">
        <v>67</v>
      </c>
    </row>
  </sheetData>
  <mergeCells count="9">
    <mergeCell ref="B20:B21"/>
    <mergeCell ref="B24:D24"/>
    <mergeCell ref="B27:B33"/>
    <mergeCell ref="B34:B37"/>
    <mergeCell ref="B2:D2"/>
    <mergeCell ref="C5:C6"/>
    <mergeCell ref="B5:B13"/>
    <mergeCell ref="B14:B16"/>
    <mergeCell ref="B17:B1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zoomScale="125" zoomScaleNormal="85" workbookViewId="0">
      <selection activeCell="B15" sqref="B15"/>
    </sheetView>
  </sheetViews>
  <sheetFormatPr defaultColWidth="8.875" defaultRowHeight="16.5"/>
  <cols>
    <col min="1" max="1" width="27.625" customWidth="1"/>
    <col min="2" max="2" width="23.125" customWidth="1"/>
    <col min="3" max="3" width="20.375" customWidth="1"/>
    <col min="4" max="4" width="18.125" customWidth="1"/>
    <col min="5" max="5" width="40.625" customWidth="1"/>
    <col min="6" max="6" width="14.625" customWidth="1"/>
    <col min="7" max="7" width="46.375" customWidth="1"/>
  </cols>
  <sheetData>
    <row r="2" spans="1:7">
      <c r="A2" t="s">
        <v>9</v>
      </c>
    </row>
    <row r="3" spans="1:7">
      <c r="A3" s="4" t="s">
        <v>2</v>
      </c>
      <c r="B3" s="4" t="s">
        <v>3</v>
      </c>
      <c r="C3" s="4" t="s">
        <v>4</v>
      </c>
      <c r="D3" s="4" t="s">
        <v>5</v>
      </c>
      <c r="E3" s="4" t="s">
        <v>18</v>
      </c>
      <c r="F3" s="4" t="s">
        <v>19</v>
      </c>
      <c r="G3" s="2" t="s">
        <v>20</v>
      </c>
    </row>
    <row r="4" spans="1:7">
      <c r="A4" s="105" t="s">
        <v>73</v>
      </c>
      <c r="B4" s="44" t="s">
        <v>64</v>
      </c>
      <c r="C4" s="44"/>
      <c r="D4" s="44"/>
      <c r="E4" s="3" t="s">
        <v>78</v>
      </c>
      <c r="F4" s="44" t="s">
        <v>22</v>
      </c>
      <c r="G4" s="1"/>
    </row>
    <row r="5" spans="1:7">
      <c r="A5" s="101"/>
      <c r="B5" s="47" t="s">
        <v>24</v>
      </c>
      <c r="C5" s="44"/>
      <c r="D5" s="44"/>
      <c r="E5" s="44" t="s">
        <v>79</v>
      </c>
      <c r="F5" s="44" t="s">
        <v>21</v>
      </c>
      <c r="G5" s="1"/>
    </row>
    <row r="6" spans="1:7">
      <c r="A6" s="112" t="s">
        <v>187</v>
      </c>
      <c r="B6" s="67" t="s">
        <v>190</v>
      </c>
      <c r="C6" s="54" t="s">
        <v>191</v>
      </c>
      <c r="D6" s="44"/>
      <c r="E6" s="54" t="s">
        <v>192</v>
      </c>
      <c r="F6" s="44" t="s">
        <v>21</v>
      </c>
      <c r="G6" s="1"/>
    </row>
    <row r="7" spans="1:7">
      <c r="A7" s="113"/>
      <c r="B7" s="66" t="s">
        <v>193</v>
      </c>
      <c r="C7" s="52"/>
      <c r="D7" s="52"/>
      <c r="E7" s="68" t="s">
        <v>194</v>
      </c>
      <c r="F7" s="52" t="s">
        <v>21</v>
      </c>
      <c r="G7" s="1"/>
    </row>
    <row r="8" spans="1:7">
      <c r="A8" s="114" t="s">
        <v>195</v>
      </c>
      <c r="B8" s="54" t="s">
        <v>196</v>
      </c>
      <c r="C8" s="1"/>
      <c r="D8" s="44"/>
      <c r="E8" s="69" t="s">
        <v>199</v>
      </c>
      <c r="F8" s="44" t="s">
        <v>21</v>
      </c>
      <c r="G8" s="1"/>
    </row>
    <row r="9" spans="1:7">
      <c r="A9" s="115"/>
      <c r="B9" s="54" t="s">
        <v>197</v>
      </c>
      <c r="C9" s="1"/>
      <c r="D9" s="44"/>
      <c r="E9" s="69" t="s">
        <v>200</v>
      </c>
      <c r="F9" s="44" t="s">
        <v>72</v>
      </c>
      <c r="G9" s="1"/>
    </row>
    <row r="10" spans="1:7">
      <c r="A10" s="116"/>
      <c r="B10" s="54" t="s">
        <v>198</v>
      </c>
      <c r="C10" s="1"/>
      <c r="D10" s="44"/>
      <c r="E10" s="69" t="s">
        <v>201</v>
      </c>
      <c r="F10" s="44" t="s">
        <v>21</v>
      </c>
      <c r="G10" s="1"/>
    </row>
    <row r="11" spans="1:7">
      <c r="A11" s="44" t="s">
        <v>66</v>
      </c>
      <c r="B11" s="44" t="s">
        <v>66</v>
      </c>
      <c r="C11" s="1"/>
      <c r="D11" s="44"/>
      <c r="E11" s="54" t="s">
        <v>202</v>
      </c>
      <c r="F11" s="44" t="s">
        <v>21</v>
      </c>
      <c r="G11" s="1"/>
    </row>
    <row r="13" spans="1:7">
      <c r="A13" t="s">
        <v>0</v>
      </c>
    </row>
    <row r="14" spans="1:7">
      <c r="A14" s="5" t="s">
        <v>2</v>
      </c>
      <c r="B14" s="5" t="s">
        <v>3</v>
      </c>
      <c r="C14" s="5" t="s">
        <v>4</v>
      </c>
      <c r="D14" s="5" t="s">
        <v>5</v>
      </c>
      <c r="E14" s="5" t="s">
        <v>18</v>
      </c>
      <c r="F14" s="5" t="s">
        <v>19</v>
      </c>
      <c r="G14" s="6" t="s">
        <v>20</v>
      </c>
    </row>
    <row r="15" spans="1:7">
      <c r="A15" s="105" t="s">
        <v>137</v>
      </c>
      <c r="B15" s="44" t="s">
        <v>8</v>
      </c>
      <c r="C15" s="44"/>
      <c r="D15" s="44"/>
      <c r="E15" s="3"/>
      <c r="F15" s="44" t="s">
        <v>21</v>
      </c>
      <c r="G15" s="1"/>
    </row>
    <row r="16" spans="1:7">
      <c r="A16" s="100"/>
      <c r="B16" s="105" t="s">
        <v>6</v>
      </c>
      <c r="C16" s="44" t="s">
        <v>69</v>
      </c>
      <c r="D16" s="44"/>
      <c r="E16" s="3" t="s">
        <v>70</v>
      </c>
      <c r="F16" s="44" t="s">
        <v>21</v>
      </c>
      <c r="G16" s="1"/>
    </row>
    <row r="17" spans="1:7">
      <c r="A17" s="101"/>
      <c r="B17" s="101"/>
      <c r="C17" s="44" t="s">
        <v>75</v>
      </c>
      <c r="D17" s="44" t="s">
        <v>7</v>
      </c>
      <c r="E17" s="3" t="s">
        <v>23</v>
      </c>
      <c r="F17" s="44" t="s">
        <v>22</v>
      </c>
      <c r="G17" s="1"/>
    </row>
  </sheetData>
  <mergeCells count="5">
    <mergeCell ref="A4:A5"/>
    <mergeCell ref="A15:A17"/>
    <mergeCell ref="B16:B17"/>
    <mergeCell ref="A6:A7"/>
    <mergeCell ref="A8:A10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opLeftCell="A18" zoomScale="115" zoomScaleNormal="115" workbookViewId="0">
      <selection activeCell="I30" sqref="I30"/>
    </sheetView>
  </sheetViews>
  <sheetFormatPr defaultColWidth="8.875" defaultRowHeight="16.5"/>
  <cols>
    <col min="1" max="1" width="27.625" customWidth="1"/>
    <col min="3" max="3" width="17.625" style="23" customWidth="1"/>
    <col min="4" max="5" width="9" style="7" customWidth="1"/>
    <col min="6" max="6" width="9" style="19" customWidth="1"/>
    <col min="7" max="7" width="9" style="20" customWidth="1"/>
    <col min="11" max="11" width="13.125" customWidth="1"/>
    <col min="12" max="12" width="17.375" customWidth="1"/>
    <col min="13" max="13" width="26.625" customWidth="1"/>
    <col min="14" max="14" width="15.875" customWidth="1"/>
    <col min="15" max="15" width="22.5" customWidth="1"/>
    <col min="18" max="18" width="19.5" customWidth="1"/>
  </cols>
  <sheetData>
    <row r="1" spans="1:7" ht="17.25">
      <c r="A1" s="24" t="s">
        <v>25</v>
      </c>
      <c r="B1" s="24" t="s">
        <v>14</v>
      </c>
      <c r="C1" s="24" t="s">
        <v>26</v>
      </c>
      <c r="D1" s="25" t="s">
        <v>27</v>
      </c>
      <c r="E1" s="25" t="s">
        <v>28</v>
      </c>
      <c r="F1" s="41" t="s">
        <v>29</v>
      </c>
      <c r="G1" s="42" t="s">
        <v>30</v>
      </c>
    </row>
    <row r="2" spans="1:7">
      <c r="A2" s="12" t="s">
        <v>31</v>
      </c>
      <c r="B2" s="26" t="s">
        <v>102</v>
      </c>
      <c r="C2" s="22"/>
      <c r="D2" s="14">
        <v>43709</v>
      </c>
      <c r="E2" s="14">
        <v>43722</v>
      </c>
      <c r="F2" s="17">
        <f t="shared" ref="F2:F13" si="0">NETWORKDAYS(D2,E2)</f>
        <v>10</v>
      </c>
      <c r="G2" s="27">
        <f>AVERAGE(G3:G5,G8:G11)</f>
        <v>0</v>
      </c>
    </row>
    <row r="3" spans="1:7">
      <c r="A3" s="8" t="s">
        <v>32</v>
      </c>
      <c r="B3" s="8" t="s">
        <v>102</v>
      </c>
      <c r="C3" s="21"/>
      <c r="D3" s="9">
        <v>43709</v>
      </c>
      <c r="E3" s="9">
        <v>43722</v>
      </c>
      <c r="F3" s="15">
        <f t="shared" si="0"/>
        <v>10</v>
      </c>
      <c r="G3" s="10">
        <v>0</v>
      </c>
    </row>
    <row r="4" spans="1:7">
      <c r="A4" s="8" t="s">
        <v>33</v>
      </c>
      <c r="B4" s="8" t="s">
        <v>102</v>
      </c>
      <c r="C4" s="21"/>
      <c r="D4" s="9">
        <v>43709</v>
      </c>
      <c r="E4" s="9">
        <v>43722</v>
      </c>
      <c r="F4" s="15">
        <f t="shared" si="0"/>
        <v>10</v>
      </c>
      <c r="G4" s="10">
        <v>0</v>
      </c>
    </row>
    <row r="5" spans="1:7">
      <c r="A5" s="11" t="s">
        <v>34</v>
      </c>
      <c r="B5" s="8" t="s">
        <v>102</v>
      </c>
      <c r="C5" s="21"/>
      <c r="D5" s="9">
        <v>43709</v>
      </c>
      <c r="E5" s="9">
        <v>43722</v>
      </c>
      <c r="F5" s="15">
        <f t="shared" si="0"/>
        <v>10</v>
      </c>
      <c r="G5" s="16">
        <f>AVERAGE(G6:G7)</f>
        <v>0</v>
      </c>
    </row>
    <row r="6" spans="1:7">
      <c r="A6" s="8" t="s">
        <v>39</v>
      </c>
      <c r="B6" s="8" t="s">
        <v>102</v>
      </c>
      <c r="C6" s="21"/>
      <c r="D6" s="9">
        <v>43709</v>
      </c>
      <c r="E6" s="9">
        <v>43722</v>
      </c>
      <c r="F6" s="15">
        <f t="shared" si="0"/>
        <v>10</v>
      </c>
      <c r="G6" s="10">
        <v>0</v>
      </c>
    </row>
    <row r="7" spans="1:7">
      <c r="A7" s="8" t="s">
        <v>40</v>
      </c>
      <c r="B7" s="8" t="s">
        <v>102</v>
      </c>
      <c r="C7" s="21"/>
      <c r="D7" s="9">
        <v>43709</v>
      </c>
      <c r="E7" s="9">
        <v>43722</v>
      </c>
      <c r="F7" s="15">
        <f t="shared" si="0"/>
        <v>10</v>
      </c>
      <c r="G7" s="10">
        <v>0</v>
      </c>
    </row>
    <row r="8" spans="1:7">
      <c r="A8" s="8" t="s">
        <v>63</v>
      </c>
      <c r="B8" s="8" t="s">
        <v>102</v>
      </c>
      <c r="C8" s="21"/>
      <c r="D8" s="9">
        <v>43709</v>
      </c>
      <c r="E8" s="9">
        <v>43722</v>
      </c>
      <c r="F8" s="15">
        <f t="shared" si="0"/>
        <v>10</v>
      </c>
      <c r="G8" s="10">
        <v>0</v>
      </c>
    </row>
    <row r="9" spans="1:7">
      <c r="A9" s="8" t="s">
        <v>35</v>
      </c>
      <c r="B9" s="8" t="s">
        <v>102</v>
      </c>
      <c r="C9" s="21"/>
      <c r="D9" s="9">
        <v>43709</v>
      </c>
      <c r="E9" s="9">
        <v>43722</v>
      </c>
      <c r="F9" s="15">
        <f t="shared" si="0"/>
        <v>10</v>
      </c>
      <c r="G9" s="10">
        <v>0</v>
      </c>
    </row>
    <row r="10" spans="1:7">
      <c r="A10" s="8" t="s">
        <v>41</v>
      </c>
      <c r="B10" s="8" t="s">
        <v>102</v>
      </c>
      <c r="C10" s="21"/>
      <c r="D10" s="9">
        <v>43709</v>
      </c>
      <c r="E10" s="9">
        <v>43722</v>
      </c>
      <c r="F10" s="15">
        <f t="shared" si="0"/>
        <v>10</v>
      </c>
      <c r="G10" s="10">
        <v>0</v>
      </c>
    </row>
    <row r="11" spans="1:7">
      <c r="A11" s="11" t="s">
        <v>36</v>
      </c>
      <c r="B11" s="8" t="s">
        <v>102</v>
      </c>
      <c r="C11" s="21"/>
      <c r="D11" s="9">
        <v>43709</v>
      </c>
      <c r="E11" s="9">
        <v>43722</v>
      </c>
      <c r="F11" s="15">
        <f t="shared" si="0"/>
        <v>10</v>
      </c>
      <c r="G11" s="16">
        <f>AVERAGE(G12:G13)</f>
        <v>0</v>
      </c>
    </row>
    <row r="12" spans="1:7">
      <c r="A12" s="8" t="s">
        <v>37</v>
      </c>
      <c r="B12" s="8" t="s">
        <v>102</v>
      </c>
      <c r="C12" s="21"/>
      <c r="D12" s="9">
        <v>43709</v>
      </c>
      <c r="E12" s="9">
        <v>43722</v>
      </c>
      <c r="F12" s="15">
        <f t="shared" si="0"/>
        <v>10</v>
      </c>
      <c r="G12" s="10">
        <v>0</v>
      </c>
    </row>
    <row r="13" spans="1:7">
      <c r="A13" s="8" t="s">
        <v>38</v>
      </c>
      <c r="B13" s="8" t="s">
        <v>102</v>
      </c>
      <c r="C13" s="21"/>
      <c r="D13" s="9">
        <v>43709</v>
      </c>
      <c r="E13" s="9">
        <v>43722</v>
      </c>
      <c r="F13" s="15">
        <f t="shared" si="0"/>
        <v>10</v>
      </c>
      <c r="G13" s="10">
        <v>0</v>
      </c>
    </row>
    <row r="14" spans="1:7">
      <c r="A14" s="12" t="s">
        <v>42</v>
      </c>
      <c r="B14" s="13" t="s">
        <v>102</v>
      </c>
      <c r="C14" s="22" t="str">
        <f t="shared" ref="C14:C50" si="1">IF(G14=0,"Not Started",IF(G14&lt;1,"Progress",IF(G14=1,"")))</f>
        <v>Not Started</v>
      </c>
      <c r="D14" s="14"/>
      <c r="E14" s="14"/>
      <c r="F14" s="17"/>
      <c r="G14" s="18">
        <f>AVERAGE(G15,G23,G41)</f>
        <v>0</v>
      </c>
    </row>
    <row r="15" spans="1:7">
      <c r="A15" s="28" t="s">
        <v>188</v>
      </c>
      <c r="B15" s="29" t="s">
        <v>102</v>
      </c>
      <c r="C15" s="30" t="str">
        <f t="shared" si="1"/>
        <v>Not Started</v>
      </c>
      <c r="D15" s="31"/>
      <c r="E15" s="31"/>
      <c r="F15" s="32"/>
      <c r="G15" s="33">
        <f>AVERAGE(G16:G21)</f>
        <v>0</v>
      </c>
    </row>
    <row r="16" spans="1:7">
      <c r="A16" s="8" t="s">
        <v>44</v>
      </c>
      <c r="B16" s="8" t="s">
        <v>102</v>
      </c>
      <c r="C16" s="34" t="str">
        <f t="shared" si="1"/>
        <v>Not Started</v>
      </c>
      <c r="D16" s="9"/>
      <c r="E16" s="9"/>
      <c r="F16" s="15"/>
      <c r="G16" s="10">
        <v>0</v>
      </c>
    </row>
    <row r="17" spans="1:7">
      <c r="A17" s="8" t="s">
        <v>46</v>
      </c>
      <c r="B17" s="8" t="s">
        <v>102</v>
      </c>
      <c r="C17" s="34" t="str">
        <f t="shared" si="1"/>
        <v>Not Started</v>
      </c>
      <c r="D17" s="9"/>
      <c r="E17" s="9"/>
      <c r="F17" s="15"/>
      <c r="G17" s="10">
        <v>0</v>
      </c>
    </row>
    <row r="18" spans="1:7">
      <c r="A18" s="8" t="s">
        <v>43</v>
      </c>
      <c r="B18" s="8" t="s">
        <v>102</v>
      </c>
      <c r="C18" s="34" t="str">
        <f t="shared" si="1"/>
        <v>Not Started</v>
      </c>
      <c r="D18" s="9"/>
      <c r="E18" s="9"/>
      <c r="F18" s="15"/>
      <c r="G18" s="10">
        <v>0</v>
      </c>
    </row>
    <row r="19" spans="1:7">
      <c r="A19" s="8" t="s">
        <v>45</v>
      </c>
      <c r="B19" s="8" t="s">
        <v>102</v>
      </c>
      <c r="C19" s="34" t="str">
        <f t="shared" si="1"/>
        <v>Not Started</v>
      </c>
      <c r="D19" s="9"/>
      <c r="E19" s="9"/>
      <c r="F19" s="15"/>
      <c r="G19" s="10">
        <v>0</v>
      </c>
    </row>
    <row r="20" spans="1:7">
      <c r="A20" s="8" t="s">
        <v>47</v>
      </c>
      <c r="B20" s="8" t="s">
        <v>102</v>
      </c>
      <c r="C20" s="34" t="str">
        <f t="shared" si="1"/>
        <v>Not Started</v>
      </c>
      <c r="D20" s="9"/>
      <c r="E20" s="9"/>
      <c r="F20" s="15"/>
      <c r="G20" s="43">
        <v>0</v>
      </c>
    </row>
    <row r="21" spans="1:7">
      <c r="A21" s="8" t="s">
        <v>48</v>
      </c>
      <c r="B21" s="8" t="s">
        <v>102</v>
      </c>
      <c r="C21" s="34" t="str">
        <f t="shared" si="1"/>
        <v>Not Started</v>
      </c>
      <c r="D21" s="9"/>
      <c r="E21" s="9"/>
      <c r="F21" s="15"/>
      <c r="G21" s="10">
        <v>0</v>
      </c>
    </row>
    <row r="22" spans="1:7">
      <c r="A22" s="8" t="s">
        <v>136</v>
      </c>
      <c r="B22" s="8" t="s">
        <v>102</v>
      </c>
      <c r="C22" s="34" t="str">
        <f t="shared" si="1"/>
        <v>Not Started</v>
      </c>
      <c r="D22" s="9"/>
      <c r="E22" s="9"/>
      <c r="F22" s="15"/>
      <c r="G22" s="10">
        <v>0</v>
      </c>
    </row>
    <row r="23" spans="1:7">
      <c r="A23" s="35" t="s">
        <v>49</v>
      </c>
      <c r="B23" s="36" t="s">
        <v>102</v>
      </c>
      <c r="C23" s="37" t="str">
        <f t="shared" si="1"/>
        <v>Not Started</v>
      </c>
      <c r="D23" s="38"/>
      <c r="E23" s="38"/>
      <c r="F23" s="39"/>
      <c r="G23" s="40">
        <f>AVERAGE(G24,G28,G38)</f>
        <v>0</v>
      </c>
    </row>
    <row r="24" spans="1:7">
      <c r="A24" s="11" t="s">
        <v>103</v>
      </c>
      <c r="B24" s="8" t="s">
        <v>102</v>
      </c>
      <c r="C24" s="34" t="str">
        <f t="shared" si="1"/>
        <v>Not Started</v>
      </c>
      <c r="D24" s="9"/>
      <c r="E24" s="9"/>
      <c r="F24" s="15"/>
      <c r="G24" s="16">
        <f>AVERAGE(G25:G26)</f>
        <v>0</v>
      </c>
    </row>
    <row r="25" spans="1:7">
      <c r="A25" s="65" t="s">
        <v>189</v>
      </c>
      <c r="B25" s="8" t="s">
        <v>102</v>
      </c>
      <c r="C25" s="34" t="str">
        <f t="shared" si="1"/>
        <v>Not Started</v>
      </c>
      <c r="D25" s="9"/>
      <c r="E25" s="9"/>
      <c r="F25" s="15"/>
      <c r="G25" s="10">
        <v>0</v>
      </c>
    </row>
    <row r="26" spans="1:7">
      <c r="A26" s="8" t="s">
        <v>50</v>
      </c>
      <c r="B26" s="8" t="s">
        <v>102</v>
      </c>
      <c r="C26" s="34" t="str">
        <f t="shared" si="1"/>
        <v>Not Started</v>
      </c>
      <c r="D26" s="9"/>
      <c r="E26" s="9"/>
      <c r="F26" s="15"/>
      <c r="G26" s="10">
        <v>0</v>
      </c>
    </row>
    <row r="27" spans="1:7">
      <c r="A27" s="8" t="s">
        <v>65</v>
      </c>
      <c r="B27" s="8" t="s">
        <v>102</v>
      </c>
      <c r="C27" s="34" t="str">
        <f t="shared" si="1"/>
        <v>Not Started</v>
      </c>
      <c r="D27" s="9"/>
      <c r="E27" s="9"/>
      <c r="F27" s="15"/>
      <c r="G27" s="10">
        <v>0</v>
      </c>
    </row>
    <row r="28" spans="1:7">
      <c r="A28" s="60" t="s">
        <v>237</v>
      </c>
      <c r="B28" s="8" t="s">
        <v>102</v>
      </c>
      <c r="C28" s="34" t="str">
        <f t="shared" si="1"/>
        <v>Not Started</v>
      </c>
      <c r="D28" s="9"/>
      <c r="E28" s="9"/>
      <c r="F28" s="15"/>
      <c r="G28" s="16">
        <f>AVERAGE(G29:G31)</f>
        <v>0</v>
      </c>
    </row>
    <row r="29" spans="1:7">
      <c r="A29" s="61" t="s">
        <v>239</v>
      </c>
      <c r="B29" s="8" t="s">
        <v>102</v>
      </c>
      <c r="C29" s="34" t="str">
        <f t="shared" si="1"/>
        <v>Not Started</v>
      </c>
      <c r="D29" s="9"/>
      <c r="E29" s="9"/>
      <c r="F29" s="15"/>
      <c r="G29" s="10">
        <v>0</v>
      </c>
    </row>
    <row r="30" spans="1:7">
      <c r="A30" s="61" t="s">
        <v>238</v>
      </c>
      <c r="B30" s="8" t="s">
        <v>102</v>
      </c>
      <c r="C30" s="34" t="str">
        <f t="shared" si="1"/>
        <v>Not Started</v>
      </c>
      <c r="D30" s="9"/>
      <c r="E30" s="9"/>
      <c r="F30" s="15"/>
      <c r="G30" s="10">
        <v>0</v>
      </c>
    </row>
    <row r="31" spans="1:7">
      <c r="A31" s="61" t="s">
        <v>240</v>
      </c>
      <c r="B31" s="8" t="s">
        <v>102</v>
      </c>
      <c r="C31" s="34" t="str">
        <f t="shared" si="1"/>
        <v>Not Started</v>
      </c>
      <c r="D31" s="9"/>
      <c r="E31" s="9"/>
      <c r="F31" s="15"/>
      <c r="G31" s="10">
        <v>0</v>
      </c>
    </row>
    <row r="32" spans="1:7">
      <c r="A32" s="61" t="s">
        <v>241</v>
      </c>
      <c r="B32" s="8" t="s">
        <v>102</v>
      </c>
      <c r="C32" s="34" t="str">
        <f t="shared" si="1"/>
        <v>Not Started</v>
      </c>
      <c r="D32" s="9"/>
      <c r="E32" s="9"/>
      <c r="F32" s="15"/>
      <c r="G32" s="10">
        <v>0</v>
      </c>
    </row>
    <row r="33" spans="1:7">
      <c r="A33" s="61" t="s">
        <v>246</v>
      </c>
      <c r="B33" s="8" t="s">
        <v>102</v>
      </c>
      <c r="C33" s="34" t="str">
        <f t="shared" si="1"/>
        <v>Not Started</v>
      </c>
      <c r="D33" s="9"/>
      <c r="E33" s="9"/>
      <c r="F33" s="15"/>
      <c r="G33" s="10">
        <v>0</v>
      </c>
    </row>
    <row r="34" spans="1:7">
      <c r="A34" s="61" t="s">
        <v>242</v>
      </c>
      <c r="B34" s="8" t="s">
        <v>102</v>
      </c>
      <c r="C34" s="34" t="str">
        <f>IF(G34=0,"Not Started",IF(G34&lt;1,"Progress",IF(G34=1,"")))</f>
        <v>Not Started</v>
      </c>
      <c r="D34" s="9"/>
      <c r="E34" s="9"/>
      <c r="F34" s="15"/>
      <c r="G34" s="10">
        <v>0</v>
      </c>
    </row>
    <row r="35" spans="1:7">
      <c r="A35" s="61" t="s">
        <v>245</v>
      </c>
      <c r="B35" s="8" t="s">
        <v>102</v>
      </c>
      <c r="C35" s="34" t="str">
        <f>IF(G35=0,"Not Started",IF(G35&lt;1,"Progress",IF(G35=1,"")))</f>
        <v>Not Started</v>
      </c>
      <c r="D35" s="9"/>
      <c r="E35" s="9"/>
      <c r="F35" s="15"/>
      <c r="G35" s="10">
        <v>0</v>
      </c>
    </row>
    <row r="36" spans="1:7">
      <c r="A36" s="61" t="s">
        <v>243</v>
      </c>
      <c r="B36" s="8" t="s">
        <v>102</v>
      </c>
      <c r="C36" s="34" t="str">
        <f>IF(G36=0,"Not Started",IF(G36&lt;1,"Progress",IF(G36=1,"")))</f>
        <v>Not Started</v>
      </c>
      <c r="D36" s="9"/>
      <c r="E36" s="9"/>
      <c r="F36" s="15"/>
      <c r="G36" s="10">
        <v>0</v>
      </c>
    </row>
    <row r="37" spans="1:7">
      <c r="A37" s="61" t="s">
        <v>244</v>
      </c>
      <c r="B37" s="8" t="s">
        <v>102</v>
      </c>
      <c r="C37" s="34" t="str">
        <f>IF(G37=0,"Not Started",IF(G37&lt;1,"Progress",IF(G37=1,"")))</f>
        <v>Not Started</v>
      </c>
      <c r="D37" s="9"/>
      <c r="E37" s="9"/>
      <c r="F37" s="15"/>
      <c r="G37" s="10">
        <v>0</v>
      </c>
    </row>
    <row r="38" spans="1:7">
      <c r="A38" s="11" t="s">
        <v>51</v>
      </c>
      <c r="B38" s="8" t="s">
        <v>102</v>
      </c>
      <c r="C38" s="34" t="str">
        <f t="shared" si="1"/>
        <v>Not Started</v>
      </c>
      <c r="D38" s="9"/>
      <c r="E38" s="9"/>
      <c r="F38" s="15"/>
      <c r="G38" s="16">
        <f>AVERAGE(G39:G40)</f>
        <v>0</v>
      </c>
    </row>
    <row r="39" spans="1:7">
      <c r="A39" s="8" t="s">
        <v>52</v>
      </c>
      <c r="B39" s="8" t="s">
        <v>102</v>
      </c>
      <c r="C39" s="34" t="str">
        <f t="shared" si="1"/>
        <v>Not Started</v>
      </c>
      <c r="D39" s="9"/>
      <c r="E39" s="9"/>
      <c r="F39" s="15"/>
      <c r="G39" s="10">
        <v>0</v>
      </c>
    </row>
    <row r="40" spans="1:7">
      <c r="A40" s="8" t="s">
        <v>53</v>
      </c>
      <c r="B40" s="8" t="s">
        <v>102</v>
      </c>
      <c r="C40" s="34" t="str">
        <f t="shared" si="1"/>
        <v>Not Started</v>
      </c>
      <c r="D40" s="9"/>
      <c r="E40" s="9"/>
      <c r="F40" s="15"/>
      <c r="G40" s="10">
        <v>0</v>
      </c>
    </row>
    <row r="41" spans="1:7">
      <c r="A41" s="35" t="s">
        <v>0</v>
      </c>
      <c r="B41" s="36" t="s">
        <v>102</v>
      </c>
      <c r="C41" s="37" t="str">
        <f t="shared" si="1"/>
        <v>Not Started</v>
      </c>
      <c r="D41" s="38"/>
      <c r="E41" s="38"/>
      <c r="F41" s="39"/>
      <c r="G41" s="10">
        <v>0</v>
      </c>
    </row>
    <row r="42" spans="1:7">
      <c r="A42" s="11" t="s">
        <v>57</v>
      </c>
      <c r="B42" s="8" t="s">
        <v>102</v>
      </c>
      <c r="C42" s="21" t="str">
        <f t="shared" si="1"/>
        <v>Not Started</v>
      </c>
      <c r="D42" s="9"/>
      <c r="E42" s="9"/>
      <c r="F42" s="15"/>
      <c r="G42" s="16">
        <f>AVERAGE(G43:G45)</f>
        <v>0</v>
      </c>
    </row>
    <row r="43" spans="1:7">
      <c r="A43" s="8" t="s">
        <v>54</v>
      </c>
      <c r="B43" s="8" t="s">
        <v>102</v>
      </c>
      <c r="C43" s="21" t="str">
        <f t="shared" si="1"/>
        <v>Not Started</v>
      </c>
      <c r="D43" s="9"/>
      <c r="E43" s="9"/>
      <c r="F43" s="15"/>
      <c r="G43" s="10">
        <v>0</v>
      </c>
    </row>
    <row r="44" spans="1:7">
      <c r="A44" s="8" t="s">
        <v>55</v>
      </c>
      <c r="B44" s="8" t="s">
        <v>102</v>
      </c>
      <c r="C44" s="21" t="str">
        <f t="shared" si="1"/>
        <v>Not Started</v>
      </c>
      <c r="D44" s="9"/>
      <c r="E44" s="9"/>
      <c r="F44" s="15"/>
      <c r="G44" s="10">
        <v>0</v>
      </c>
    </row>
    <row r="45" spans="1:7">
      <c r="A45" s="8" t="s">
        <v>56</v>
      </c>
      <c r="B45" s="8" t="s">
        <v>102</v>
      </c>
      <c r="C45" s="21" t="str">
        <f t="shared" si="1"/>
        <v>Not Started</v>
      </c>
      <c r="D45" s="9"/>
      <c r="E45" s="9"/>
      <c r="F45" s="15"/>
      <c r="G45" s="10">
        <v>0</v>
      </c>
    </row>
    <row r="46" spans="1:7">
      <c r="A46" s="11" t="s">
        <v>58</v>
      </c>
      <c r="B46" s="8" t="s">
        <v>102</v>
      </c>
      <c r="C46" s="21" t="str">
        <f t="shared" si="1"/>
        <v>Not Started</v>
      </c>
      <c r="D46" s="9"/>
      <c r="E46" s="9"/>
      <c r="F46" s="15"/>
      <c r="G46" s="16">
        <f>AVERAGE(G47:G50)</f>
        <v>0</v>
      </c>
    </row>
    <row r="47" spans="1:7">
      <c r="A47" s="8" t="s">
        <v>59</v>
      </c>
      <c r="B47" s="8" t="s">
        <v>102</v>
      </c>
      <c r="C47" s="21" t="str">
        <f t="shared" si="1"/>
        <v>Not Started</v>
      </c>
      <c r="D47" s="9"/>
      <c r="E47" s="9"/>
      <c r="F47" s="15"/>
      <c r="G47" s="10">
        <v>0</v>
      </c>
    </row>
    <row r="48" spans="1:7">
      <c r="A48" s="8" t="s">
        <v>60</v>
      </c>
      <c r="B48" s="8" t="s">
        <v>102</v>
      </c>
      <c r="C48" s="21" t="str">
        <f t="shared" si="1"/>
        <v>Not Started</v>
      </c>
      <c r="D48" s="9"/>
      <c r="E48" s="9"/>
      <c r="F48" s="15"/>
      <c r="G48" s="10">
        <v>0</v>
      </c>
    </row>
    <row r="49" spans="1:7">
      <c r="A49" s="8" t="s">
        <v>62</v>
      </c>
      <c r="B49" s="8" t="s">
        <v>102</v>
      </c>
      <c r="C49" s="21" t="str">
        <f t="shared" si="1"/>
        <v>Not Started</v>
      </c>
      <c r="D49" s="9"/>
      <c r="E49" s="9"/>
      <c r="F49" s="15"/>
      <c r="G49" s="10">
        <v>0</v>
      </c>
    </row>
    <row r="50" spans="1:7">
      <c r="A50" s="8" t="s">
        <v>61</v>
      </c>
      <c r="B50" s="8" t="s">
        <v>102</v>
      </c>
      <c r="C50" s="21" t="str">
        <f t="shared" si="1"/>
        <v>Not Started</v>
      </c>
      <c r="D50" s="9"/>
      <c r="E50" s="9"/>
      <c r="F50" s="15"/>
      <c r="G50" s="10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6.5"/>
  <sheetData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topLeftCell="A43" zoomScale="125" workbookViewId="0">
      <selection activeCell="D52" sqref="D52"/>
    </sheetView>
  </sheetViews>
  <sheetFormatPr defaultColWidth="8.875" defaultRowHeight="16.5"/>
  <cols>
    <col min="1" max="1" width="19.25" customWidth="1"/>
    <col min="2" max="2" width="22.125" customWidth="1"/>
    <col min="3" max="3" width="25.125" customWidth="1"/>
    <col min="4" max="4" width="28.875" customWidth="1"/>
    <col min="5" max="5" width="16.875" customWidth="1"/>
    <col min="6" max="6" width="10.375" customWidth="1"/>
    <col min="11" max="11" width="20.375" customWidth="1"/>
  </cols>
  <sheetData>
    <row r="1" spans="1:15" ht="64.5" customHeight="1">
      <c r="A1" s="125" t="s">
        <v>139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5" ht="27">
      <c r="A2" s="83" t="s">
        <v>140</v>
      </c>
      <c r="B2" s="83" t="s">
        <v>142</v>
      </c>
      <c r="C2" s="83" t="s">
        <v>143</v>
      </c>
      <c r="D2" s="83" t="s">
        <v>156</v>
      </c>
      <c r="E2" s="83" t="s">
        <v>161</v>
      </c>
      <c r="F2" s="83" t="s">
        <v>163</v>
      </c>
      <c r="G2" s="83" t="s">
        <v>164</v>
      </c>
      <c r="H2" s="83" t="s">
        <v>165</v>
      </c>
      <c r="I2" s="83" t="s">
        <v>167</v>
      </c>
      <c r="J2" s="83" t="s">
        <v>168</v>
      </c>
      <c r="K2" s="83" t="s">
        <v>169</v>
      </c>
    </row>
    <row r="3" spans="1:15">
      <c r="A3" s="126" t="s">
        <v>141</v>
      </c>
      <c r="B3" s="127" t="s">
        <v>247</v>
      </c>
      <c r="C3" s="84" t="s">
        <v>144</v>
      </c>
      <c r="D3" s="84" t="s">
        <v>248</v>
      </c>
      <c r="E3" s="85" t="s">
        <v>173</v>
      </c>
      <c r="F3" s="84">
        <v>11</v>
      </c>
      <c r="G3" s="84"/>
      <c r="H3" s="84" t="s">
        <v>166</v>
      </c>
      <c r="I3" s="84" t="s">
        <v>166</v>
      </c>
      <c r="J3" s="84"/>
      <c r="K3" s="86"/>
    </row>
    <row r="4" spans="1:15">
      <c r="A4" s="126"/>
      <c r="B4" s="127"/>
      <c r="C4" s="87" t="s">
        <v>138</v>
      </c>
      <c r="D4" s="88" t="s">
        <v>294</v>
      </c>
      <c r="E4" s="88" t="s">
        <v>177</v>
      </c>
      <c r="F4" s="89">
        <v>45</v>
      </c>
      <c r="G4" s="89"/>
      <c r="H4" s="89"/>
      <c r="I4" s="89" t="s">
        <v>166</v>
      </c>
      <c r="J4" s="89"/>
      <c r="K4" s="90"/>
    </row>
    <row r="5" spans="1:15">
      <c r="A5" s="126"/>
      <c r="B5" s="127"/>
      <c r="C5" s="87" t="s">
        <v>145</v>
      </c>
      <c r="D5" s="88" t="s">
        <v>249</v>
      </c>
      <c r="E5" s="88" t="s">
        <v>178</v>
      </c>
      <c r="F5" s="89">
        <v>45</v>
      </c>
      <c r="G5" s="89"/>
      <c r="H5" s="89"/>
      <c r="I5" s="89" t="s">
        <v>166</v>
      </c>
      <c r="J5" s="89"/>
      <c r="K5" s="90"/>
      <c r="M5" s="53"/>
      <c r="N5" s="53"/>
      <c r="O5" s="53"/>
    </row>
    <row r="6" spans="1:15">
      <c r="A6" s="126"/>
      <c r="B6" s="127"/>
      <c r="C6" s="87" t="s">
        <v>146</v>
      </c>
      <c r="D6" s="88" t="s">
        <v>251</v>
      </c>
      <c r="E6" s="88" t="s">
        <v>177</v>
      </c>
      <c r="F6" s="89">
        <v>45</v>
      </c>
      <c r="G6" s="89"/>
      <c r="H6" s="89"/>
      <c r="I6" s="89" t="s">
        <v>166</v>
      </c>
      <c r="J6" s="89"/>
      <c r="K6" s="90"/>
    </row>
    <row r="7" spans="1:15">
      <c r="A7" s="126"/>
      <c r="B7" s="127"/>
      <c r="C7" s="87" t="s">
        <v>171</v>
      </c>
      <c r="D7" s="89" t="s">
        <v>250</v>
      </c>
      <c r="E7" s="88" t="s">
        <v>179</v>
      </c>
      <c r="F7" s="89">
        <v>45</v>
      </c>
      <c r="G7" s="89"/>
      <c r="H7" s="89"/>
      <c r="I7" s="89" t="s">
        <v>166</v>
      </c>
      <c r="J7" s="89"/>
      <c r="K7" s="90"/>
    </row>
    <row r="8" spans="1:15">
      <c r="A8" s="126"/>
      <c r="B8" s="127"/>
      <c r="C8" s="87" t="s">
        <v>252</v>
      </c>
      <c r="D8" s="89" t="s">
        <v>359</v>
      </c>
      <c r="E8" s="88" t="s">
        <v>270</v>
      </c>
      <c r="F8" s="89">
        <v>512</v>
      </c>
      <c r="G8" s="89"/>
      <c r="H8" s="89"/>
      <c r="I8" s="89" t="s">
        <v>299</v>
      </c>
      <c r="J8" s="89"/>
      <c r="K8" s="90"/>
    </row>
    <row r="9" spans="1:15">
      <c r="A9" s="126"/>
      <c r="B9" s="127"/>
      <c r="C9" s="87" t="s">
        <v>172</v>
      </c>
      <c r="D9" s="88" t="s">
        <v>253</v>
      </c>
      <c r="E9" s="88" t="s">
        <v>176</v>
      </c>
      <c r="F9" s="89">
        <v>11</v>
      </c>
      <c r="G9" s="89"/>
      <c r="H9" s="89"/>
      <c r="I9" s="88" t="s">
        <v>183</v>
      </c>
      <c r="J9" s="89"/>
      <c r="K9" s="90"/>
    </row>
    <row r="10" spans="1:15">
      <c r="A10" s="126"/>
      <c r="B10" s="127"/>
      <c r="C10" s="87" t="s">
        <v>147</v>
      </c>
      <c r="D10" s="89" t="s">
        <v>295</v>
      </c>
      <c r="E10" s="89" t="s">
        <v>162</v>
      </c>
      <c r="F10" s="89"/>
      <c r="G10" s="89"/>
      <c r="H10" s="89"/>
      <c r="I10" s="89" t="s">
        <v>166</v>
      </c>
      <c r="J10" s="89"/>
      <c r="K10" s="90"/>
    </row>
    <row r="11" spans="1:15">
      <c r="A11" s="126"/>
      <c r="B11" s="127"/>
      <c r="C11" s="87" t="s">
        <v>148</v>
      </c>
      <c r="D11" s="89" t="s">
        <v>296</v>
      </c>
      <c r="E11" s="88" t="s">
        <v>360</v>
      </c>
      <c r="F11" s="89">
        <v>11</v>
      </c>
      <c r="G11" s="89"/>
      <c r="H11" s="89"/>
      <c r="I11" s="89" t="s">
        <v>166</v>
      </c>
      <c r="J11" s="89"/>
      <c r="K11" s="90"/>
    </row>
    <row r="12" spans="1:15">
      <c r="A12" s="126"/>
      <c r="B12" s="127"/>
      <c r="C12" s="87" t="s">
        <v>149</v>
      </c>
      <c r="D12" s="89" t="s">
        <v>298</v>
      </c>
      <c r="E12" s="89" t="s">
        <v>162</v>
      </c>
      <c r="F12" s="89"/>
      <c r="G12" s="89"/>
      <c r="H12" s="89"/>
      <c r="I12" s="89" t="s">
        <v>166</v>
      </c>
      <c r="J12" s="89"/>
      <c r="K12" s="90"/>
    </row>
    <row r="13" spans="1:15">
      <c r="A13" s="126"/>
      <c r="B13" s="127"/>
      <c r="C13" s="87" t="s">
        <v>150</v>
      </c>
      <c r="D13" s="89" t="s">
        <v>297</v>
      </c>
      <c r="E13" s="88" t="s">
        <v>270</v>
      </c>
      <c r="F13" s="89">
        <v>11</v>
      </c>
      <c r="G13" s="89"/>
      <c r="H13" s="89"/>
      <c r="I13" s="89" t="s">
        <v>166</v>
      </c>
      <c r="J13" s="89"/>
      <c r="K13" s="90"/>
    </row>
    <row r="14" spans="1:15">
      <c r="A14" s="126" t="s">
        <v>135</v>
      </c>
      <c r="B14" s="127" t="s">
        <v>254</v>
      </c>
      <c r="C14" s="91" t="s">
        <v>151</v>
      </c>
      <c r="D14" s="91" t="s">
        <v>255</v>
      </c>
      <c r="E14" s="85" t="s">
        <v>173</v>
      </c>
      <c r="F14" s="84">
        <v>11</v>
      </c>
      <c r="G14" s="84"/>
      <c r="H14" s="84" t="s">
        <v>166</v>
      </c>
      <c r="I14" s="84" t="s">
        <v>166</v>
      </c>
      <c r="J14" s="84"/>
      <c r="K14" s="86"/>
    </row>
    <row r="15" spans="1:15">
      <c r="A15" s="126"/>
      <c r="B15" s="127"/>
      <c r="C15" s="92" t="s">
        <v>268</v>
      </c>
      <c r="D15" s="92" t="s">
        <v>248</v>
      </c>
      <c r="E15" s="93" t="s">
        <v>180</v>
      </c>
      <c r="F15" s="92">
        <v>11</v>
      </c>
      <c r="G15" s="92"/>
      <c r="H15" s="92"/>
      <c r="I15" s="92" t="s">
        <v>342</v>
      </c>
      <c r="J15" s="92"/>
      <c r="K15" s="94" t="s">
        <v>170</v>
      </c>
    </row>
    <row r="16" spans="1:15">
      <c r="A16" s="126"/>
      <c r="B16" s="127"/>
      <c r="C16" s="87" t="s">
        <v>152</v>
      </c>
      <c r="D16" s="87" t="s">
        <v>184</v>
      </c>
      <c r="E16" s="88" t="s">
        <v>177</v>
      </c>
      <c r="F16" s="89">
        <v>100</v>
      </c>
      <c r="G16" s="89"/>
      <c r="H16" s="89"/>
      <c r="I16" s="89" t="s">
        <v>343</v>
      </c>
      <c r="J16" s="89"/>
      <c r="K16" s="90"/>
    </row>
    <row r="17" spans="1:11">
      <c r="A17" s="126"/>
      <c r="B17" s="127"/>
      <c r="C17" s="87" t="s">
        <v>153</v>
      </c>
      <c r="D17" s="87" t="s">
        <v>185</v>
      </c>
      <c r="E17" s="88" t="s">
        <v>177</v>
      </c>
      <c r="F17" s="89">
        <v>4000</v>
      </c>
      <c r="G17" s="89"/>
      <c r="H17" s="89"/>
      <c r="I17" s="89" t="s">
        <v>166</v>
      </c>
      <c r="J17" s="89"/>
      <c r="K17" s="90"/>
    </row>
    <row r="18" spans="1:11">
      <c r="A18" s="126"/>
      <c r="B18" s="127"/>
      <c r="C18" s="87" t="s">
        <v>154</v>
      </c>
      <c r="D18" s="87" t="s">
        <v>300</v>
      </c>
      <c r="E18" s="88" t="s">
        <v>177</v>
      </c>
      <c r="F18" s="89">
        <v>45</v>
      </c>
      <c r="G18" s="89"/>
      <c r="H18" s="89"/>
      <c r="I18" s="89" t="s">
        <v>166</v>
      </c>
      <c r="J18" s="89"/>
      <c r="K18" s="90"/>
    </row>
    <row r="19" spans="1:11">
      <c r="A19" s="126"/>
      <c r="B19" s="127"/>
      <c r="C19" s="87" t="s">
        <v>155</v>
      </c>
      <c r="D19" s="87" t="s">
        <v>186</v>
      </c>
      <c r="E19" s="88" t="s">
        <v>173</v>
      </c>
      <c r="F19" s="89">
        <v>11</v>
      </c>
      <c r="G19" s="89"/>
      <c r="H19" s="89"/>
      <c r="I19" s="89" t="s">
        <v>299</v>
      </c>
      <c r="J19" s="89"/>
      <c r="K19" s="90"/>
    </row>
    <row r="20" spans="1:11">
      <c r="A20" s="126"/>
      <c r="B20" s="127"/>
      <c r="C20" s="87" t="s">
        <v>147</v>
      </c>
      <c r="D20" s="87" t="s">
        <v>157</v>
      </c>
      <c r="E20" s="89" t="s">
        <v>162</v>
      </c>
      <c r="F20" s="89"/>
      <c r="G20" s="89"/>
      <c r="H20" s="89"/>
      <c r="I20" s="89" t="s">
        <v>166</v>
      </c>
      <c r="J20" s="89"/>
      <c r="K20" s="90"/>
    </row>
    <row r="21" spans="1:11">
      <c r="A21" s="126"/>
      <c r="B21" s="127"/>
      <c r="C21" s="87" t="s">
        <v>148</v>
      </c>
      <c r="D21" s="87" t="s">
        <v>158</v>
      </c>
      <c r="E21" s="88" t="s">
        <v>361</v>
      </c>
      <c r="F21" s="89">
        <v>32</v>
      </c>
      <c r="G21" s="89"/>
      <c r="H21" s="89"/>
      <c r="I21" s="89" t="s">
        <v>166</v>
      </c>
      <c r="J21" s="89"/>
      <c r="K21" s="90"/>
    </row>
    <row r="22" spans="1:11">
      <c r="A22" s="126"/>
      <c r="B22" s="127"/>
      <c r="C22" s="87" t="s">
        <v>149</v>
      </c>
      <c r="D22" s="87" t="s">
        <v>159</v>
      </c>
      <c r="E22" s="89" t="s">
        <v>162</v>
      </c>
      <c r="F22" s="89"/>
      <c r="G22" s="89"/>
      <c r="H22" s="89"/>
      <c r="I22" s="89" t="s">
        <v>166</v>
      </c>
      <c r="J22" s="89"/>
      <c r="K22" s="90"/>
    </row>
    <row r="23" spans="1:11">
      <c r="A23" s="126"/>
      <c r="B23" s="127"/>
      <c r="C23" s="87" t="s">
        <v>150</v>
      </c>
      <c r="D23" s="87" t="s">
        <v>160</v>
      </c>
      <c r="E23" s="88" t="s">
        <v>270</v>
      </c>
      <c r="F23" s="89">
        <v>32</v>
      </c>
      <c r="G23" s="89"/>
      <c r="H23" s="89"/>
      <c r="I23" s="89" t="s">
        <v>166</v>
      </c>
      <c r="J23" s="89"/>
      <c r="K23" s="90"/>
    </row>
    <row r="24" spans="1:11">
      <c r="A24" s="117" t="s">
        <v>265</v>
      </c>
      <c r="B24" s="118" t="s">
        <v>257</v>
      </c>
      <c r="C24" s="91" t="s">
        <v>259</v>
      </c>
      <c r="D24" s="91" t="s">
        <v>301</v>
      </c>
      <c r="E24" s="85" t="s">
        <v>174</v>
      </c>
      <c r="F24" s="84">
        <v>11</v>
      </c>
      <c r="G24" s="84"/>
      <c r="H24" s="84" t="s">
        <v>166</v>
      </c>
      <c r="I24" s="84" t="s">
        <v>166</v>
      </c>
      <c r="J24" s="84"/>
      <c r="K24" s="84"/>
    </row>
    <row r="25" spans="1:11">
      <c r="A25" s="117"/>
      <c r="B25" s="118"/>
      <c r="C25" s="92" t="s">
        <v>273</v>
      </c>
      <c r="D25" s="92" t="s">
        <v>302</v>
      </c>
      <c r="E25" s="93" t="s">
        <v>270</v>
      </c>
      <c r="F25" s="92">
        <v>11</v>
      </c>
      <c r="G25" s="92"/>
      <c r="H25" s="92"/>
      <c r="I25" s="92" t="s">
        <v>299</v>
      </c>
      <c r="J25" s="92"/>
      <c r="K25" s="94" t="s">
        <v>271</v>
      </c>
    </row>
    <row r="26" spans="1:11">
      <c r="A26" s="117"/>
      <c r="B26" s="118"/>
      <c r="C26" s="95" t="s">
        <v>272</v>
      </c>
      <c r="D26" s="96" t="s">
        <v>303</v>
      </c>
      <c r="E26" s="97" t="s">
        <v>181</v>
      </c>
      <c r="F26" s="98">
        <v>256</v>
      </c>
      <c r="G26" s="98"/>
      <c r="H26" s="98"/>
      <c r="I26" s="89" t="s">
        <v>166</v>
      </c>
      <c r="J26" s="98"/>
      <c r="K26" s="98"/>
    </row>
    <row r="27" spans="1:11">
      <c r="A27" s="117"/>
      <c r="B27" s="118"/>
      <c r="C27" s="95" t="s">
        <v>261</v>
      </c>
      <c r="D27" s="95" t="s">
        <v>304</v>
      </c>
      <c r="E27" s="97" t="s">
        <v>181</v>
      </c>
      <c r="F27" s="98">
        <v>256</v>
      </c>
      <c r="G27" s="98"/>
      <c r="H27" s="98"/>
      <c r="I27" s="89" t="s">
        <v>310</v>
      </c>
      <c r="J27" s="98"/>
      <c r="K27" s="98"/>
    </row>
    <row r="28" spans="1:11">
      <c r="A28" s="117"/>
      <c r="B28" s="118"/>
      <c r="C28" s="96" t="s">
        <v>262</v>
      </c>
      <c r="D28" s="95" t="s">
        <v>305</v>
      </c>
      <c r="E28" s="97" t="s">
        <v>177</v>
      </c>
      <c r="F28" s="98">
        <v>1024</v>
      </c>
      <c r="G28" s="98"/>
      <c r="H28" s="98"/>
      <c r="I28" s="89" t="s">
        <v>310</v>
      </c>
      <c r="J28" s="98"/>
      <c r="K28" s="98"/>
    </row>
    <row r="29" spans="1:11">
      <c r="A29" s="117"/>
      <c r="B29" s="118"/>
      <c r="C29" s="96" t="s">
        <v>263</v>
      </c>
      <c r="D29" s="95" t="s">
        <v>306</v>
      </c>
      <c r="E29" s="97" t="s">
        <v>181</v>
      </c>
      <c r="F29" s="98">
        <v>512</v>
      </c>
      <c r="G29" s="98"/>
      <c r="H29" s="98"/>
      <c r="I29" s="89" t="s">
        <v>310</v>
      </c>
      <c r="J29" s="98"/>
      <c r="K29" s="98"/>
    </row>
    <row r="30" spans="1:11">
      <c r="A30" s="117"/>
      <c r="B30" s="118"/>
      <c r="C30" s="95" t="s">
        <v>264</v>
      </c>
      <c r="D30" s="95" t="s">
        <v>307</v>
      </c>
      <c r="E30" s="97" t="s">
        <v>308</v>
      </c>
      <c r="F30" s="98"/>
      <c r="G30" s="98"/>
      <c r="H30" s="98"/>
      <c r="I30" s="89" t="s">
        <v>299</v>
      </c>
      <c r="J30" s="98"/>
      <c r="K30" s="98"/>
    </row>
    <row r="31" spans="1:11">
      <c r="A31" s="117" t="s">
        <v>266</v>
      </c>
      <c r="B31" s="118" t="s">
        <v>267</v>
      </c>
      <c r="C31" s="91" t="s">
        <v>259</v>
      </c>
      <c r="D31" s="91" t="s">
        <v>301</v>
      </c>
      <c r="E31" s="85" t="s">
        <v>173</v>
      </c>
      <c r="F31" s="84">
        <v>11</v>
      </c>
      <c r="G31" s="84"/>
      <c r="H31" s="84" t="s">
        <v>166</v>
      </c>
      <c r="I31" s="84" t="s">
        <v>166</v>
      </c>
      <c r="J31" s="84"/>
      <c r="K31" s="84"/>
    </row>
    <row r="32" spans="1:11">
      <c r="A32" s="117"/>
      <c r="B32" s="118"/>
      <c r="C32" s="95" t="s">
        <v>260</v>
      </c>
      <c r="D32" s="96" t="s">
        <v>313</v>
      </c>
      <c r="E32" s="97" t="s">
        <v>177</v>
      </c>
      <c r="F32" s="98">
        <v>256</v>
      </c>
      <c r="G32" s="98"/>
      <c r="H32" s="98"/>
      <c r="I32" s="89" t="s">
        <v>166</v>
      </c>
      <c r="J32" s="98"/>
      <c r="K32" s="98"/>
    </row>
    <row r="33" spans="1:11">
      <c r="A33" s="117"/>
      <c r="B33" s="118"/>
      <c r="C33" s="95" t="s">
        <v>261</v>
      </c>
      <c r="D33" s="95" t="s">
        <v>314</v>
      </c>
      <c r="E33" s="97" t="s">
        <v>177</v>
      </c>
      <c r="F33" s="98">
        <v>256</v>
      </c>
      <c r="G33" s="98"/>
      <c r="H33" s="98"/>
      <c r="I33" s="89" t="s">
        <v>299</v>
      </c>
      <c r="J33" s="98"/>
      <c r="K33" s="98"/>
    </row>
    <row r="34" spans="1:11">
      <c r="A34" s="117"/>
      <c r="B34" s="118"/>
      <c r="C34" s="96" t="s">
        <v>262</v>
      </c>
      <c r="D34" s="95" t="s">
        <v>315</v>
      </c>
      <c r="E34" s="97" t="s">
        <v>177</v>
      </c>
      <c r="F34" s="98">
        <v>1024</v>
      </c>
      <c r="G34" s="98"/>
      <c r="H34" s="98"/>
      <c r="I34" s="89" t="s">
        <v>311</v>
      </c>
      <c r="J34" s="98"/>
      <c r="K34" s="98"/>
    </row>
    <row r="35" spans="1:11">
      <c r="A35" s="117"/>
      <c r="B35" s="118"/>
      <c r="C35" s="96" t="s">
        <v>263</v>
      </c>
      <c r="D35" s="95" t="s">
        <v>306</v>
      </c>
      <c r="E35" s="97" t="s">
        <v>177</v>
      </c>
      <c r="F35" s="98">
        <v>512</v>
      </c>
      <c r="G35" s="98"/>
      <c r="H35" s="98"/>
      <c r="I35" s="89" t="s">
        <v>299</v>
      </c>
      <c r="J35" s="98"/>
      <c r="K35" s="98"/>
    </row>
    <row r="36" spans="1:11">
      <c r="A36" s="117"/>
      <c r="B36" s="118"/>
      <c r="C36" s="95" t="s">
        <v>264</v>
      </c>
      <c r="D36" s="95" t="s">
        <v>307</v>
      </c>
      <c r="E36" s="97" t="s">
        <v>308</v>
      </c>
      <c r="F36" s="98"/>
      <c r="G36" s="98"/>
      <c r="H36" s="98"/>
      <c r="I36" s="89" t="s">
        <v>299</v>
      </c>
      <c r="J36" s="98"/>
      <c r="K36" s="98"/>
    </row>
    <row r="37" spans="1:11">
      <c r="A37" s="117" t="s">
        <v>274</v>
      </c>
      <c r="B37" s="119" t="s">
        <v>322</v>
      </c>
      <c r="C37" s="99" t="s">
        <v>275</v>
      </c>
      <c r="D37" s="99" t="s">
        <v>316</v>
      </c>
      <c r="E37" s="85" t="s">
        <v>173</v>
      </c>
      <c r="F37" s="84">
        <v>11</v>
      </c>
      <c r="G37" s="84"/>
      <c r="H37" s="85" t="s">
        <v>175</v>
      </c>
      <c r="I37" s="85" t="s">
        <v>175</v>
      </c>
      <c r="J37" s="84"/>
      <c r="K37" s="86"/>
    </row>
    <row r="38" spans="1:11">
      <c r="A38" s="117"/>
      <c r="B38" s="120"/>
      <c r="C38" s="95" t="s">
        <v>312</v>
      </c>
      <c r="D38" s="95" t="s">
        <v>317</v>
      </c>
      <c r="E38" s="97" t="s">
        <v>177</v>
      </c>
      <c r="F38" s="98">
        <v>45</v>
      </c>
      <c r="G38" s="98"/>
      <c r="H38" s="98"/>
      <c r="I38" s="89" t="s">
        <v>166</v>
      </c>
      <c r="J38" s="98"/>
      <c r="K38" s="98"/>
    </row>
    <row r="39" spans="1:11">
      <c r="A39" s="117"/>
      <c r="B39" s="120"/>
      <c r="C39" s="95" t="s">
        <v>276</v>
      </c>
      <c r="D39" s="95" t="s">
        <v>318</v>
      </c>
      <c r="E39" s="97" t="s">
        <v>177</v>
      </c>
      <c r="F39" s="98">
        <v>45</v>
      </c>
      <c r="G39" s="98"/>
      <c r="H39" s="98"/>
      <c r="I39" s="89" t="s">
        <v>166</v>
      </c>
      <c r="J39" s="98"/>
      <c r="K39" s="98"/>
    </row>
    <row r="40" spans="1:11">
      <c r="A40" s="117"/>
      <c r="B40" s="120"/>
      <c r="C40" s="95" t="s">
        <v>279</v>
      </c>
      <c r="D40" s="95" t="s">
        <v>319</v>
      </c>
      <c r="E40" s="97" t="s">
        <v>177</v>
      </c>
      <c r="F40" s="98">
        <v>45</v>
      </c>
      <c r="G40" s="98"/>
      <c r="H40" s="98"/>
      <c r="I40" s="89" t="s">
        <v>166</v>
      </c>
      <c r="J40" s="98"/>
      <c r="K40" s="98"/>
    </row>
    <row r="41" spans="1:11">
      <c r="A41" s="117"/>
      <c r="B41" s="120"/>
      <c r="C41" s="95" t="s">
        <v>277</v>
      </c>
      <c r="D41" s="95" t="s">
        <v>320</v>
      </c>
      <c r="E41" s="97" t="s">
        <v>182</v>
      </c>
      <c r="F41" s="98">
        <v>45</v>
      </c>
      <c r="G41" s="98"/>
      <c r="H41" s="98"/>
      <c r="I41" s="89" t="s">
        <v>166</v>
      </c>
      <c r="J41" s="98"/>
      <c r="K41" s="98"/>
    </row>
    <row r="42" spans="1:11">
      <c r="A42" s="117"/>
      <c r="B42" s="121"/>
      <c r="C42" s="95" t="s">
        <v>278</v>
      </c>
      <c r="D42" s="95" t="s">
        <v>321</v>
      </c>
      <c r="E42" s="97" t="s">
        <v>177</v>
      </c>
      <c r="F42" s="98">
        <v>45</v>
      </c>
      <c r="G42" s="98"/>
      <c r="H42" s="98"/>
      <c r="I42" s="89" t="s">
        <v>166</v>
      </c>
      <c r="J42" s="98"/>
      <c r="K42" s="98"/>
    </row>
    <row r="43" spans="1:11">
      <c r="A43" s="122" t="s">
        <v>281</v>
      </c>
      <c r="B43" s="119" t="s">
        <v>323</v>
      </c>
      <c r="C43" s="99" t="s">
        <v>362</v>
      </c>
      <c r="D43" s="99" t="s">
        <v>371</v>
      </c>
      <c r="E43" s="85" t="s">
        <v>173</v>
      </c>
      <c r="F43" s="84">
        <v>11</v>
      </c>
      <c r="G43" s="84"/>
      <c r="H43" s="85" t="s">
        <v>175</v>
      </c>
      <c r="I43" s="85" t="s">
        <v>175</v>
      </c>
      <c r="J43" s="84"/>
      <c r="K43" s="86"/>
    </row>
    <row r="44" spans="1:11">
      <c r="A44" s="123"/>
      <c r="B44" s="120"/>
      <c r="C44" s="95" t="s">
        <v>363</v>
      </c>
      <c r="D44" s="95" t="s">
        <v>372</v>
      </c>
      <c r="E44" s="97" t="s">
        <v>177</v>
      </c>
      <c r="F44" s="98">
        <v>128</v>
      </c>
      <c r="G44" s="98"/>
      <c r="H44" s="98"/>
      <c r="I44" s="89" t="s">
        <v>166</v>
      </c>
      <c r="J44" s="98"/>
      <c r="K44" s="98"/>
    </row>
    <row r="45" spans="1:11">
      <c r="A45" s="123"/>
      <c r="B45" s="120"/>
      <c r="C45" s="95" t="s">
        <v>364</v>
      </c>
      <c r="D45" s="95" t="s">
        <v>373</v>
      </c>
      <c r="E45" s="97" t="s">
        <v>177</v>
      </c>
      <c r="F45" s="98">
        <v>512</v>
      </c>
      <c r="G45" s="98"/>
      <c r="H45" s="98"/>
      <c r="I45" s="89" t="s">
        <v>166</v>
      </c>
      <c r="J45" s="98"/>
      <c r="K45" s="98"/>
    </row>
    <row r="46" spans="1:11">
      <c r="A46" s="123"/>
      <c r="B46" s="120"/>
      <c r="C46" s="95" t="s">
        <v>365</v>
      </c>
      <c r="D46" s="95" t="s">
        <v>374</v>
      </c>
      <c r="E46" s="97" t="s">
        <v>177</v>
      </c>
      <c r="F46" s="98">
        <v>64</v>
      </c>
      <c r="G46" s="98"/>
      <c r="H46" s="98"/>
      <c r="I46" s="89" t="s">
        <v>166</v>
      </c>
      <c r="J46" s="98"/>
      <c r="K46" s="98"/>
    </row>
    <row r="47" spans="1:11">
      <c r="A47" s="123"/>
      <c r="B47" s="120"/>
      <c r="C47" s="95" t="s">
        <v>366</v>
      </c>
      <c r="D47" s="95" t="s">
        <v>327</v>
      </c>
      <c r="E47" s="97" t="s">
        <v>177</v>
      </c>
      <c r="F47" s="98">
        <v>64</v>
      </c>
      <c r="G47" s="98"/>
      <c r="H47" s="98"/>
      <c r="I47" s="89" t="s">
        <v>166</v>
      </c>
      <c r="J47" s="98"/>
      <c r="K47" s="98"/>
    </row>
    <row r="48" spans="1:11">
      <c r="A48" s="123"/>
      <c r="B48" s="120"/>
      <c r="C48" s="95" t="s">
        <v>367</v>
      </c>
      <c r="D48" s="95" t="s">
        <v>375</v>
      </c>
      <c r="E48" s="97" t="s">
        <v>177</v>
      </c>
      <c r="F48" s="98">
        <v>64</v>
      </c>
      <c r="G48" s="98"/>
      <c r="H48" s="98"/>
      <c r="I48" s="89" t="s">
        <v>166</v>
      </c>
      <c r="J48" s="98"/>
      <c r="K48" s="98"/>
    </row>
    <row r="49" spans="1:11">
      <c r="A49" s="123"/>
      <c r="B49" s="120"/>
      <c r="C49" s="95" t="s">
        <v>368</v>
      </c>
      <c r="D49" s="95" t="s">
        <v>376</v>
      </c>
      <c r="E49" s="97" t="s">
        <v>177</v>
      </c>
      <c r="F49" s="98">
        <v>64</v>
      </c>
      <c r="G49" s="98"/>
      <c r="H49" s="98"/>
      <c r="I49" s="89" t="s">
        <v>166</v>
      </c>
      <c r="J49" s="98"/>
      <c r="K49" s="98"/>
    </row>
    <row r="50" spans="1:11">
      <c r="A50" s="123"/>
      <c r="B50" s="120"/>
      <c r="C50" s="95" t="s">
        <v>369</v>
      </c>
      <c r="D50" s="95" t="s">
        <v>377</v>
      </c>
      <c r="E50" s="97" t="s">
        <v>177</v>
      </c>
      <c r="F50" s="98">
        <v>64</v>
      </c>
      <c r="G50" s="98"/>
      <c r="H50" s="98"/>
      <c r="I50" s="89" t="s">
        <v>166</v>
      </c>
      <c r="J50" s="98"/>
      <c r="K50" s="98"/>
    </row>
    <row r="51" spans="1:11">
      <c r="A51" s="124"/>
      <c r="B51" s="121"/>
      <c r="C51" s="95" t="s">
        <v>370</v>
      </c>
      <c r="D51" s="95"/>
      <c r="E51" s="97" t="s">
        <v>177</v>
      </c>
      <c r="F51" s="98">
        <v>64</v>
      </c>
      <c r="G51" s="98"/>
      <c r="H51" s="98"/>
      <c r="I51" s="89" t="s">
        <v>166</v>
      </c>
      <c r="J51" s="98"/>
      <c r="K51" s="98"/>
    </row>
    <row r="52" spans="1:11">
      <c r="A52" s="122" t="s">
        <v>280</v>
      </c>
      <c r="B52" s="119" t="s">
        <v>341</v>
      </c>
      <c r="C52" s="99" t="s">
        <v>282</v>
      </c>
      <c r="D52" s="99" t="s">
        <v>324</v>
      </c>
      <c r="E52" s="85" t="s">
        <v>173</v>
      </c>
      <c r="F52" s="84">
        <v>11</v>
      </c>
      <c r="G52" s="84"/>
      <c r="H52" s="85" t="s">
        <v>175</v>
      </c>
      <c r="I52" s="85" t="s">
        <v>175</v>
      </c>
      <c r="J52" s="84"/>
      <c r="K52" s="86"/>
    </row>
    <row r="53" spans="1:11">
      <c r="A53" s="123"/>
      <c r="B53" s="120"/>
      <c r="C53" s="95" t="s">
        <v>283</v>
      </c>
      <c r="D53" s="95" t="s">
        <v>326</v>
      </c>
      <c r="E53" s="97" t="s">
        <v>177</v>
      </c>
      <c r="F53" s="98">
        <v>128</v>
      </c>
      <c r="G53" s="98"/>
      <c r="H53" s="98"/>
      <c r="I53" s="89" t="s">
        <v>166</v>
      </c>
      <c r="J53" s="98"/>
      <c r="K53" s="98"/>
    </row>
    <row r="54" spans="1:11">
      <c r="A54" s="123"/>
      <c r="B54" s="120"/>
      <c r="C54" s="95" t="s">
        <v>284</v>
      </c>
      <c r="D54" s="95" t="s">
        <v>325</v>
      </c>
      <c r="E54" s="97" t="s">
        <v>177</v>
      </c>
      <c r="F54" s="98">
        <v>512</v>
      </c>
      <c r="G54" s="98"/>
      <c r="H54" s="98"/>
      <c r="I54" s="89" t="s">
        <v>166</v>
      </c>
      <c r="J54" s="98"/>
      <c r="K54" s="98"/>
    </row>
    <row r="55" spans="1:11">
      <c r="A55" s="123"/>
      <c r="B55" s="120"/>
      <c r="C55" s="95" t="s">
        <v>285</v>
      </c>
      <c r="D55" s="95" t="s">
        <v>328</v>
      </c>
      <c r="E55" s="97" t="s">
        <v>182</v>
      </c>
      <c r="F55" s="98">
        <v>64</v>
      </c>
      <c r="G55" s="98"/>
      <c r="H55" s="98"/>
      <c r="I55" s="89" t="s">
        <v>166</v>
      </c>
      <c r="J55" s="98"/>
      <c r="K55" s="98"/>
    </row>
    <row r="56" spans="1:11">
      <c r="A56" s="123"/>
      <c r="B56" s="120"/>
      <c r="C56" s="95" t="s">
        <v>286</v>
      </c>
      <c r="D56" s="95" t="s">
        <v>327</v>
      </c>
      <c r="E56" s="97" t="s">
        <v>177</v>
      </c>
      <c r="F56" s="98">
        <v>64</v>
      </c>
      <c r="G56" s="98"/>
      <c r="H56" s="98"/>
      <c r="I56" s="89" t="s">
        <v>299</v>
      </c>
      <c r="J56" s="98"/>
      <c r="K56" s="98"/>
    </row>
    <row r="57" spans="1:11">
      <c r="A57" s="123"/>
      <c r="B57" s="120"/>
      <c r="C57" s="95" t="s">
        <v>287</v>
      </c>
      <c r="D57" s="95" t="s">
        <v>329</v>
      </c>
      <c r="E57" s="97" t="s">
        <v>335</v>
      </c>
      <c r="F57" s="98">
        <v>64</v>
      </c>
      <c r="G57" s="98"/>
      <c r="H57" s="98"/>
      <c r="I57" s="89" t="s">
        <v>309</v>
      </c>
      <c r="J57" s="98"/>
      <c r="K57" s="98"/>
    </row>
    <row r="58" spans="1:11">
      <c r="A58" s="123"/>
      <c r="B58" s="120"/>
      <c r="C58" s="95" t="s">
        <v>288</v>
      </c>
      <c r="D58" s="95" t="s">
        <v>330</v>
      </c>
      <c r="E58" s="97" t="s">
        <v>335</v>
      </c>
      <c r="F58" s="98">
        <v>64</v>
      </c>
      <c r="G58" s="98"/>
      <c r="H58" s="98"/>
      <c r="I58" s="89" t="s">
        <v>299</v>
      </c>
      <c r="J58" s="98"/>
      <c r="K58" s="98"/>
    </row>
    <row r="59" spans="1:11">
      <c r="A59" s="123"/>
      <c r="B59" s="120"/>
      <c r="C59" s="95" t="s">
        <v>289</v>
      </c>
      <c r="D59" s="95" t="s">
        <v>340</v>
      </c>
      <c r="E59" s="97" t="s">
        <v>335</v>
      </c>
      <c r="F59" s="98">
        <v>64</v>
      </c>
      <c r="G59" s="98"/>
      <c r="H59" s="98"/>
      <c r="I59" s="89" t="s">
        <v>338</v>
      </c>
      <c r="J59" s="98"/>
      <c r="K59" s="98"/>
    </row>
    <row r="60" spans="1:11">
      <c r="A60" s="123"/>
      <c r="B60" s="120"/>
      <c r="C60" s="95" t="s">
        <v>290</v>
      </c>
      <c r="D60" s="95" t="s">
        <v>333</v>
      </c>
      <c r="E60" s="97" t="s">
        <v>336</v>
      </c>
      <c r="F60" s="98">
        <v>64</v>
      </c>
      <c r="G60" s="98"/>
      <c r="H60" s="98"/>
      <c r="I60" s="89" t="s">
        <v>309</v>
      </c>
      <c r="J60" s="98"/>
      <c r="K60" s="98"/>
    </row>
    <row r="61" spans="1:11">
      <c r="A61" s="123"/>
      <c r="B61" s="120"/>
      <c r="C61" s="95" t="s">
        <v>291</v>
      </c>
      <c r="D61" s="95" t="s">
        <v>332</v>
      </c>
      <c r="E61" s="97" t="s">
        <v>337</v>
      </c>
      <c r="F61" s="98">
        <v>64</v>
      </c>
      <c r="G61" s="98"/>
      <c r="H61" s="98"/>
      <c r="I61" s="89" t="s">
        <v>339</v>
      </c>
      <c r="J61" s="98"/>
      <c r="K61" s="98"/>
    </row>
    <row r="62" spans="1:11">
      <c r="A62" s="123"/>
      <c r="B62" s="120"/>
      <c r="C62" s="95" t="s">
        <v>292</v>
      </c>
      <c r="D62" s="95" t="s">
        <v>331</v>
      </c>
      <c r="E62" s="97" t="s">
        <v>336</v>
      </c>
      <c r="F62" s="98">
        <v>64</v>
      </c>
      <c r="G62" s="98"/>
      <c r="H62" s="98"/>
      <c r="I62" s="89" t="s">
        <v>299</v>
      </c>
      <c r="J62" s="98"/>
      <c r="K62" s="98"/>
    </row>
    <row r="63" spans="1:11">
      <c r="A63" s="124"/>
      <c r="B63" s="121"/>
      <c r="C63" s="95" t="s">
        <v>293</v>
      </c>
      <c r="D63" s="95" t="s">
        <v>334</v>
      </c>
      <c r="E63" s="97" t="s">
        <v>269</v>
      </c>
      <c r="F63" s="98">
        <v>128</v>
      </c>
      <c r="G63" s="98"/>
      <c r="H63" s="98"/>
      <c r="I63" s="89" t="s">
        <v>299</v>
      </c>
      <c r="J63" s="98"/>
      <c r="K63" s="98"/>
    </row>
    <row r="64" spans="1:11">
      <c r="A64" s="122" t="s">
        <v>256</v>
      </c>
      <c r="B64" s="119" t="s">
        <v>258</v>
      </c>
      <c r="C64" s="99" t="s">
        <v>344</v>
      </c>
      <c r="D64" s="99" t="s">
        <v>351</v>
      </c>
      <c r="E64" s="85" t="s">
        <v>173</v>
      </c>
      <c r="F64" s="84">
        <v>11</v>
      </c>
      <c r="G64" s="84"/>
      <c r="H64" s="85" t="s">
        <v>175</v>
      </c>
      <c r="I64" s="85" t="s">
        <v>175</v>
      </c>
      <c r="J64" s="84"/>
      <c r="K64" s="86"/>
    </row>
    <row r="65" spans="1:11">
      <c r="A65" s="123"/>
      <c r="B65" s="120"/>
      <c r="C65" s="95" t="s">
        <v>345</v>
      </c>
      <c r="D65" s="95" t="s">
        <v>352</v>
      </c>
      <c r="E65" s="97" t="s">
        <v>177</v>
      </c>
      <c r="F65" s="98">
        <v>32</v>
      </c>
      <c r="G65" s="98"/>
      <c r="H65" s="98"/>
      <c r="I65" s="89" t="s">
        <v>166</v>
      </c>
      <c r="J65" s="98"/>
      <c r="K65" s="98"/>
    </row>
    <row r="66" spans="1:11">
      <c r="A66" s="123"/>
      <c r="B66" s="120"/>
      <c r="C66" s="95" t="s">
        <v>346</v>
      </c>
      <c r="D66" s="95" t="s">
        <v>353</v>
      </c>
      <c r="E66" s="97" t="s">
        <v>269</v>
      </c>
      <c r="F66" s="98">
        <v>32</v>
      </c>
      <c r="G66" s="98"/>
      <c r="H66" s="98"/>
      <c r="I66" s="89" t="s">
        <v>299</v>
      </c>
      <c r="J66" s="98"/>
      <c r="K66" s="98"/>
    </row>
    <row r="67" spans="1:11">
      <c r="A67" s="123"/>
      <c r="B67" s="120"/>
      <c r="C67" s="95" t="s">
        <v>347</v>
      </c>
      <c r="D67" s="95" t="s">
        <v>354</v>
      </c>
      <c r="E67" s="97" t="s">
        <v>177</v>
      </c>
      <c r="F67" s="98">
        <v>128</v>
      </c>
      <c r="G67" s="98"/>
      <c r="H67" s="98"/>
      <c r="I67" s="89" t="s">
        <v>166</v>
      </c>
      <c r="J67" s="98"/>
      <c r="K67" s="98"/>
    </row>
    <row r="68" spans="1:11">
      <c r="A68" s="123"/>
      <c r="B68" s="120"/>
      <c r="C68" s="95" t="s">
        <v>348</v>
      </c>
      <c r="D68" s="95" t="s">
        <v>355</v>
      </c>
      <c r="E68" s="97" t="s">
        <v>358</v>
      </c>
      <c r="F68" s="98">
        <v>128</v>
      </c>
      <c r="G68" s="98"/>
      <c r="H68" s="98"/>
      <c r="I68" s="89" t="s">
        <v>166</v>
      </c>
      <c r="J68" s="98"/>
      <c r="K68" s="98"/>
    </row>
    <row r="69" spans="1:11">
      <c r="A69" s="123"/>
      <c r="B69" s="120"/>
      <c r="C69" s="95" t="s">
        <v>349</v>
      </c>
      <c r="D69" s="95" t="s">
        <v>356</v>
      </c>
      <c r="E69" s="97" t="s">
        <v>335</v>
      </c>
      <c r="F69" s="98">
        <v>128</v>
      </c>
      <c r="G69" s="98"/>
      <c r="H69" s="98"/>
      <c r="I69" s="89" t="s">
        <v>309</v>
      </c>
      <c r="J69" s="98"/>
      <c r="K69" s="98"/>
    </row>
    <row r="70" spans="1:11">
      <c r="A70" s="124"/>
      <c r="B70" s="121"/>
      <c r="C70" s="95" t="s">
        <v>350</v>
      </c>
      <c r="D70" s="95" t="s">
        <v>357</v>
      </c>
      <c r="E70" s="97" t="s">
        <v>177</v>
      </c>
      <c r="F70" s="98">
        <v>128</v>
      </c>
      <c r="G70" s="98"/>
      <c r="H70" s="98"/>
      <c r="I70" s="89" t="s">
        <v>166</v>
      </c>
      <c r="J70" s="98"/>
      <c r="K70" s="98"/>
    </row>
  </sheetData>
  <mergeCells count="17">
    <mergeCell ref="A64:A70"/>
    <mergeCell ref="B64:B70"/>
    <mergeCell ref="A43:A51"/>
    <mergeCell ref="B43:B51"/>
    <mergeCell ref="A1:K1"/>
    <mergeCell ref="A3:A13"/>
    <mergeCell ref="B3:B13"/>
    <mergeCell ref="A14:A23"/>
    <mergeCell ref="B14:B23"/>
    <mergeCell ref="A24:A30"/>
    <mergeCell ref="B24:B30"/>
    <mergeCell ref="A31:A36"/>
    <mergeCell ref="B31:B36"/>
    <mergeCell ref="A37:A42"/>
    <mergeCell ref="B37:B42"/>
    <mergeCell ref="A52:A63"/>
    <mergeCell ref="B52:B63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8" sqref="J18"/>
    </sheetView>
  </sheetViews>
  <sheetFormatPr defaultColWidth="11" defaultRowHeight="16.5"/>
  <sheetData/>
  <phoneticPr fontId="2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5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프로그램 명세서</vt:lpstr>
      <vt:lpstr>메뉴 구조도</vt:lpstr>
      <vt:lpstr>WBS</vt:lpstr>
      <vt:lpstr>Sheet1</vt:lpstr>
      <vt:lpstr>테이블명세서</vt:lpstr>
      <vt:lpstr>erd</vt:lpstr>
    </vt:vector>
  </TitlesOfParts>
  <Company>Microsoft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data11</dc:creator>
  <cp:lastModifiedBy>data-15</cp:lastModifiedBy>
  <cp:revision>3</cp:revision>
  <dcterms:created xsi:type="dcterms:W3CDTF">2019-09-19T10:26:14Z</dcterms:created>
  <dcterms:modified xsi:type="dcterms:W3CDTF">2019-12-08T20:10:48Z</dcterms:modified>
</cp:coreProperties>
</file>