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7" lowestEdited="4" rupBuild=""/>
  <workbookPr/>
  <bookViews>
    <workbookView xWindow="360" yWindow="30" windowWidth="25755" windowHeight="11595" tabRatio="642" activeTab="5"/>
  </bookViews>
  <sheets>
    <sheet name="메뉴 구조도" sheetId="3" r:id="rId1"/>
    <sheet name="프로그램 명세서" sheetId="4" r:id="rId2"/>
    <sheet name="WBS" sheetId="5" r:id="rId3"/>
    <sheet name="Sheet1" state="hidden" sheetId="9" r:id="rId4"/>
    <sheet name="테이블명세서" sheetId="10" r:id="rId5"/>
    <sheet name="erd" sheetId="11" r:id="rId6"/>
  </sheets>
  <externalReferences>
    <externalReference r:id="rId7"/>
  </externalReferences>
  <definedNames/>
  <calcPr calcId="152511"/>
</workbook>
</file>

<file path=xl/sharedStrings.xml><?xml version="1.0" encoding="utf-8"?>
<sst xmlns="http://schemas.openxmlformats.org/spreadsheetml/2006/main" count="660" uniqueCount="660">
  <si>
    <t>관리자</t>
  </si>
  <si>
    <t>구분</t>
  </si>
  <si>
    <t>구분</t>
  </si>
  <si>
    <t>1depth</t>
  </si>
  <si>
    <t>2depth</t>
  </si>
  <si>
    <t>3depth</t>
  </si>
  <si>
    <t>관리</t>
  </si>
  <si>
    <t>공지사항 관리</t>
  </si>
  <si>
    <t>로그인</t>
  </si>
  <si>
    <t>사용자</t>
  </si>
  <si>
    <t>업무영역</t>
  </si>
  <si>
    <t>프로그램ID</t>
  </si>
  <si>
    <t>프로그램명</t>
  </si>
  <si>
    <t>DB Transaction</t>
  </si>
  <si>
    <t>작업자</t>
  </si>
  <si>
    <t>Lev1</t>
  </si>
  <si>
    <t>Lev2</t>
  </si>
  <si>
    <t>Lev3</t>
  </si>
  <si>
    <t>Tab/Page</t>
  </si>
  <si>
    <t>Page/기능구분</t>
  </si>
  <si>
    <t>비고</t>
  </si>
  <si>
    <t>Program</t>
  </si>
  <si>
    <t>Program</t>
  </si>
  <si>
    <t>공지사항 등록/조회/수정/삭제</t>
  </si>
  <si>
    <t>회원가입</t>
  </si>
  <si>
    <t>태스크</t>
  </si>
  <si>
    <t>상태</t>
  </si>
  <si>
    <t>시작일</t>
  </si>
  <si>
    <t>종료일</t>
  </si>
  <si>
    <t>기간</t>
  </si>
  <si>
    <t>진척률</t>
  </si>
  <si>
    <t>설계</t>
  </si>
  <si>
    <t xml:space="preserve">  메뉴 구조도</t>
  </si>
  <si>
    <t xml:space="preserve">  프로그램 명세서</t>
  </si>
  <si>
    <t xml:space="preserve">  DB 설계(ERD)</t>
  </si>
  <si>
    <t xml:space="preserve">  DB 구현</t>
  </si>
  <si>
    <t xml:space="preserve">  개발환경 세팅</t>
  </si>
  <si>
    <t xml:space="preserve">    Spring 세팅</t>
  </si>
  <si>
    <t xml:space="preserve">    my-batis 세팅</t>
  </si>
  <si>
    <t xml:space="preserve">    논리ERD 작성</t>
  </si>
  <si>
    <t xml:space="preserve">    물리ERD 작성</t>
  </si>
  <si>
    <t xml:space="preserve">  화면설계서</t>
  </si>
  <si>
    <t>구현(소프트웨어개발)</t>
  </si>
  <si>
    <t xml:space="preserve">  로그인</t>
  </si>
  <si>
    <t xml:space="preserve">  HOME</t>
  </si>
  <si>
    <t xml:space="preserve">  로그아웃</t>
  </si>
  <si>
    <t xml:space="preserve">  회원가입</t>
  </si>
  <si>
    <t xml:space="preserve">  아이디 찾기</t>
  </si>
  <si>
    <t xml:space="preserve">  비밀번호 찾기</t>
  </si>
  <si>
    <t>사용자</t>
  </si>
  <si>
    <t xml:space="preserve">    회원정보 수정</t>
  </si>
  <si>
    <t xml:space="preserve">  공지사항</t>
  </si>
  <si>
    <t xml:space="preserve">    공지사항 리스트</t>
  </si>
  <si>
    <t xml:space="preserve">    공지사항 상세</t>
  </si>
  <si>
    <t xml:space="preserve">    회원정보 등록</t>
  </si>
  <si>
    <t xml:space="preserve">    회원정보 상세</t>
  </si>
  <si>
    <t xml:space="preserve">    회원정보 수정</t>
  </si>
  <si>
    <t xml:space="preserve">  회원 관리</t>
  </si>
  <si>
    <t xml:space="preserve">  공지사항 관리</t>
  </si>
  <si>
    <t xml:space="preserve">    공지사항 등록</t>
  </si>
  <si>
    <t xml:space="preserve">    공지사항 리스트</t>
  </si>
  <si>
    <t xml:space="preserve">    공지사항 수정</t>
  </si>
  <si>
    <t xml:space="preserve">    공지사항 상세</t>
  </si>
  <si>
    <t xml:space="preserve">  테이블 명세서</t>
  </si>
  <si>
    <t>아이디/비번찾기</t>
  </si>
  <si>
    <t>내정보</t>
  </si>
  <si>
    <t xml:space="preserve">    회원 탈퇴</t>
  </si>
  <si>
    <t>정보 입력</t>
  </si>
  <si>
    <t>품종 정보 입력</t>
  </si>
  <si>
    <t>보호소 정보 입력</t>
  </si>
  <si>
    <t>시도/시군구 정보 입력</t>
  </si>
  <si>
    <t>공지사항 게시판</t>
  </si>
  <si>
    <t>관리자</t>
  </si>
  <si>
    <t>로그인</t>
  </si>
  <si>
    <t>회원 관리</t>
  </si>
  <si>
    <t>회원정보 등록/조회/수정/삭제</t>
  </si>
  <si>
    <t>공지사항 관리</t>
  </si>
  <si>
    <t>유기동물 정보 조회하기</t>
  </si>
  <si>
    <t xml:space="preserve">검색 결과 </t>
  </si>
  <si>
    <t>상세 결과</t>
  </si>
  <si>
    <t>결과 리스트</t>
  </si>
  <si>
    <t>Program</t>
  </si>
  <si>
    <t>Program</t>
  </si>
  <si>
    <t>로그인</t>
  </si>
  <si>
    <t>회원가입</t>
  </si>
  <si>
    <t>게시판 관리</t>
  </si>
  <si>
    <t>회원정보 수정</t>
  </si>
  <si>
    <t>회원탈퇴</t>
  </si>
  <si>
    <t>이메일로 임시비번 전송</t>
  </si>
  <si>
    <t>이름/전화번호/이메일 등 정보 저장</t>
  </si>
  <si>
    <t>NO</t>
  </si>
  <si>
    <t>TOP</t>
  </si>
  <si>
    <t>N</t>
  </si>
  <si>
    <t>회원관리</t>
  </si>
  <si>
    <t>R</t>
  </si>
  <si>
    <t>로그아웃</t>
  </si>
  <si>
    <t>아이디 찾기</t>
  </si>
  <si>
    <t>비밀번호 찾기</t>
  </si>
  <si>
    <t>R,U</t>
  </si>
  <si>
    <t>회원정보 등록</t>
  </si>
  <si>
    <t>C</t>
  </si>
  <si>
    <t>회원정보 상세</t>
  </si>
  <si>
    <t>D</t>
  </si>
  <si>
    <t>C,D,U</t>
  </si>
  <si>
    <t>공지사항 조회</t>
  </si>
  <si>
    <t>공지사항 수정</t>
  </si>
  <si>
    <t>공지사항 등록</t>
  </si>
  <si>
    <t>사용자</t>
  </si>
  <si>
    <t>이메일중복확인</t>
  </si>
  <si>
    <t>아이디중복확인</t>
  </si>
  <si>
    <t>아이디/비번틀림</t>
  </si>
  <si>
    <t>유기동물 정보</t>
  </si>
  <si>
    <t>유기동물 정보 조회</t>
  </si>
  <si>
    <t>R</t>
  </si>
  <si>
    <t>R</t>
  </si>
  <si>
    <t>품종 정보로 조회</t>
  </si>
  <si>
    <t>보호소 정보로 조회</t>
  </si>
  <si>
    <t>시도/시군구 정보로 조회</t>
  </si>
  <si>
    <t>사용자</t>
  </si>
  <si>
    <t>임세명</t>
  </si>
  <si>
    <t>조회 결과</t>
  </si>
  <si>
    <t>결과 상세</t>
  </si>
  <si>
    <t>결과 리스트 보여주기</t>
  </si>
  <si>
    <t>결과 상세 보여주기</t>
  </si>
  <si>
    <t>결과 목록</t>
  </si>
  <si>
    <t>R</t>
  </si>
  <si>
    <t>R</t>
  </si>
  <si>
    <t>C</t>
  </si>
  <si>
    <t>R</t>
  </si>
  <si>
    <t>정보 입력</t>
  </si>
  <si>
    <t xml:space="preserve">  회원정보</t>
  </si>
  <si>
    <t>공지사항 리스트</t>
  </si>
  <si>
    <t>공지사항 상세</t>
  </si>
  <si>
    <t>이메일로 임시비번 보내기</t>
  </si>
  <si>
    <t>비번확인</t>
  </si>
  <si>
    <t>비번확인</t>
  </si>
  <si>
    <t>질병정보</t>
  </si>
  <si>
    <t>USER_01</t>
  </si>
  <si>
    <t>USER_02</t>
  </si>
  <si>
    <t>USER_03</t>
  </si>
  <si>
    <t>USER_04</t>
  </si>
  <si>
    <t>USER_05</t>
  </si>
  <si>
    <t>USER_06</t>
  </si>
  <si>
    <t>USER_07</t>
  </si>
  <si>
    <t>USER_08</t>
  </si>
  <si>
    <t>USER_09</t>
  </si>
  <si>
    <t>USER_10</t>
  </si>
  <si>
    <t>USER_11</t>
  </si>
  <si>
    <t>USER_12</t>
  </si>
  <si>
    <t>USER_13</t>
  </si>
  <si>
    <t>USER_14</t>
  </si>
  <si>
    <t>USER_15</t>
  </si>
  <si>
    <t>USER_16</t>
  </si>
  <si>
    <t>ADMIN_01</t>
  </si>
  <si>
    <t>ADMIN_02</t>
  </si>
  <si>
    <t>ADMIN_03</t>
  </si>
  <si>
    <t>ADMIN_04</t>
  </si>
  <si>
    <t>ADMIN_05</t>
  </si>
  <si>
    <t>ADMIN_06</t>
  </si>
  <si>
    <t>ADMIN_07</t>
  </si>
  <si>
    <t>ADMIN_08</t>
  </si>
  <si>
    <t>ADMIN_09</t>
  </si>
  <si>
    <t>ADMIN_10</t>
  </si>
  <si>
    <t>ADMIN_11</t>
  </si>
  <si>
    <t>회원정보</t>
  </si>
  <si>
    <t xml:space="preserve">    유기동물 정보 조회</t>
  </si>
  <si>
    <t xml:space="preserve">    조회 결과</t>
  </si>
  <si>
    <t xml:space="preserve">      검색 정보 입력</t>
  </si>
  <si>
    <t xml:space="preserve">      결과 리스트 </t>
  </si>
  <si>
    <t xml:space="preserve">      결과 상세</t>
  </si>
  <si>
    <t>공지사항 상세</t>
  </si>
  <si>
    <t>공지사항 수정</t>
  </si>
  <si>
    <t>ADMIN_12</t>
  </si>
  <si>
    <t>R,U</t>
  </si>
  <si>
    <t>공지사항</t>
  </si>
  <si>
    <t xml:space="preserve">    이메일 전송</t>
  </si>
  <si>
    <t>메인</t>
  </si>
  <si>
    <t>아이디</t>
  </si>
  <si>
    <t>테이블 명세서</t>
  </si>
  <si>
    <t>Table name
(logical name)</t>
  </si>
  <si>
    <t>회원 정보</t>
  </si>
  <si>
    <t>Table name
(physical name)</t>
  </si>
  <si>
    <t>Column name
(logical name)</t>
  </si>
  <si>
    <t>회원번호</t>
  </si>
  <si>
    <t>비밀번호</t>
  </si>
  <si>
    <t>회원 이름</t>
  </si>
  <si>
    <t>등록일</t>
  </si>
  <si>
    <t>등록자 회원번호</t>
  </si>
  <si>
    <t>수정일</t>
  </si>
  <si>
    <t>수정자 회원번호</t>
  </si>
  <si>
    <t>공지사항 번호</t>
  </si>
  <si>
    <t>공지사항 제목</t>
  </si>
  <si>
    <t>공지사항 내용</t>
  </si>
  <si>
    <t>공지사항 작성자</t>
  </si>
  <si>
    <t>공지사항 조회수</t>
  </si>
  <si>
    <t>Column name
(physical name)</t>
  </si>
  <si>
    <t>USER_NO</t>
  </si>
  <si>
    <t>REGDATE</t>
  </si>
  <si>
    <t>REGNO</t>
  </si>
  <si>
    <t>UPDDATE</t>
  </si>
  <si>
    <t>UPDNO</t>
  </si>
  <si>
    <t>Type</t>
  </si>
  <si>
    <t>date</t>
  </si>
  <si>
    <t>Length</t>
  </si>
  <si>
    <t>Decimal</t>
  </si>
  <si>
    <t>PK</t>
  </si>
  <si>
    <t>*</t>
  </si>
  <si>
    <t>NOT NULL</t>
  </si>
  <si>
    <t>UNIQUE</t>
  </si>
  <si>
    <t>FK</t>
  </si>
  <si>
    <t>-&gt; 회원정보.회원번호</t>
  </si>
  <si>
    <t>회원 이메일</t>
  </si>
  <si>
    <t>USER_EMAIL</t>
  </si>
  <si>
    <t>시도 코드</t>
  </si>
  <si>
    <t>ANIMAL_NO</t>
  </si>
  <si>
    <t>유기 번호</t>
  </si>
  <si>
    <t>SEARCH_RACE</t>
  </si>
  <si>
    <t>권한</t>
  </si>
  <si>
    <t>시군구 코드</t>
  </si>
  <si>
    <t>동물 질병 정보</t>
  </si>
  <si>
    <t>유기동물 검색 정보</t>
  </si>
  <si>
    <t>ani_search</t>
  </si>
  <si>
    <t>ani_disease</t>
  </si>
  <si>
    <t>ani_noti</t>
  </si>
  <si>
    <t>ani_user</t>
  </si>
  <si>
    <t>중성화 여부</t>
  </si>
  <si>
    <t>유기 날짜</t>
  </si>
  <si>
    <t>질병 번호</t>
  </si>
  <si>
    <t>질병명</t>
  </si>
  <si>
    <t>영문질병명</t>
  </si>
  <si>
    <t>주요감염동물</t>
  </si>
  <si>
    <t>원인체분류</t>
  </si>
  <si>
    <r>
      <t>D</t>
    </r>
    <r>
      <rPr>
        <sz val="11"/>
        <color theme="1"/>
        <rFont val="맑은 고딕"/>
      </rPr>
      <t>ISEASE_NO</t>
    </r>
  </si>
  <si>
    <t>DISEASE_NAME</t>
  </si>
  <si>
    <r>
      <t>D</t>
    </r>
    <r>
      <rPr>
        <sz val="11"/>
        <color theme="1"/>
        <rFont val="맑은 고딕"/>
      </rPr>
      <t>ISEASE_ENGNAME</t>
    </r>
  </si>
  <si>
    <r>
      <t>D</t>
    </r>
    <r>
      <rPr>
        <sz val="11"/>
        <color theme="1"/>
        <rFont val="맑은 고딕"/>
      </rPr>
      <t>ISEASE_INJECTION_ANIMAL</t>
    </r>
  </si>
  <si>
    <r>
      <t>D</t>
    </r>
    <r>
      <rPr>
        <sz val="11"/>
        <color theme="1"/>
        <rFont val="맑은 고딕"/>
      </rPr>
      <t>ISEASE_CAUSE</t>
    </r>
  </si>
  <si>
    <r>
      <t>n</t>
    </r>
    <r>
      <rPr>
        <sz val="10"/>
        <color rgb="FF000000"/>
        <rFont val="맑은 고딕"/>
      </rPr>
      <t>umber</t>
    </r>
  </si>
  <si>
    <r>
      <t>n</t>
    </r>
    <r>
      <rPr>
        <sz val="10"/>
        <color rgb="FF000000"/>
        <rFont val="맑은 고딕"/>
      </rPr>
      <t>umber</t>
    </r>
  </si>
  <si>
    <r>
      <t>d</t>
    </r>
    <r>
      <rPr>
        <sz val="10"/>
        <color rgb="FF000000"/>
        <rFont val="맑은 고딕"/>
      </rPr>
      <t>ate</t>
    </r>
  </si>
  <si>
    <r>
      <t>S</t>
    </r>
    <r>
      <rPr>
        <sz val="11"/>
        <color theme="1"/>
        <rFont val="맑은 고딕"/>
      </rPr>
      <t>EARCH_PLACE1</t>
    </r>
  </si>
  <si>
    <r>
      <t>S</t>
    </r>
    <r>
      <rPr>
        <sz val="11"/>
        <color theme="1"/>
        <rFont val="맑은 고딕"/>
      </rPr>
      <t>EARCH_PLACE2</t>
    </r>
  </si>
  <si>
    <r>
      <t>S</t>
    </r>
    <r>
      <rPr>
        <sz val="11"/>
        <color theme="1"/>
        <rFont val="맑은 고딕"/>
      </rPr>
      <t>EARCH_DATE</t>
    </r>
  </si>
  <si>
    <t>품종</t>
  </si>
  <si>
    <r>
      <t>SEARCH_</t>
    </r>
    <r>
      <rPr>
        <sz val="11"/>
        <color theme="1"/>
        <rFont val="맑은 고딕"/>
      </rPr>
      <t>OPERATION</t>
    </r>
  </si>
  <si>
    <r>
      <t>n</t>
    </r>
    <r>
      <rPr>
        <sz val="10"/>
        <color theme="1"/>
        <rFont val="맑은 고딕"/>
      </rPr>
      <t>umber</t>
    </r>
  </si>
  <si>
    <t>*</t>
  </si>
  <si>
    <t>*</t>
  </si>
  <si>
    <r>
      <t>U</t>
    </r>
    <r>
      <rPr>
        <sz val="10"/>
        <color rgb="FF000000"/>
        <rFont val="맑은 고딕"/>
      </rPr>
      <t>SER_AUTHORITY</t>
    </r>
  </si>
  <si>
    <r>
      <t>U</t>
    </r>
    <r>
      <rPr>
        <sz val="10"/>
        <color rgb="FF000000"/>
        <rFont val="맑은 고딕"/>
      </rPr>
      <t>SER_</t>
    </r>
    <r>
      <rPr>
        <sz val="10"/>
        <color rgb="FF000000"/>
        <rFont val="맑은 고딕"/>
      </rPr>
      <t>ID</t>
    </r>
  </si>
  <si>
    <r>
      <t>U</t>
    </r>
    <r>
      <rPr>
        <sz val="10"/>
        <color rgb="FF000000"/>
        <rFont val="맑은 고딕"/>
      </rPr>
      <t>SER_PW</t>
    </r>
  </si>
  <si>
    <t>USER_NAME</t>
  </si>
  <si>
    <r>
      <t>n</t>
    </r>
    <r>
      <rPr>
        <sz val="10"/>
        <color rgb="FF000000"/>
        <rFont val="맑은 고딕"/>
      </rPr>
      <t>umber</t>
    </r>
  </si>
  <si>
    <r>
      <t>varchar</t>
    </r>
    <r>
      <rPr>
        <sz val="10"/>
        <color rgb="FF000000"/>
        <rFont val="맑은 고딕"/>
      </rPr>
      <t>2</t>
    </r>
  </si>
  <si>
    <r>
      <t>varcha</t>
    </r>
    <r>
      <rPr>
        <sz val="10"/>
        <color rgb="FF000000"/>
        <rFont val="맑은 고딕"/>
      </rPr>
      <t>r2</t>
    </r>
  </si>
  <si>
    <r>
      <t>varchar</t>
    </r>
    <r>
      <rPr>
        <sz val="10"/>
        <color rgb="FF000000"/>
        <rFont val="맑은 고딕"/>
      </rPr>
      <t>2</t>
    </r>
  </si>
  <si>
    <r>
      <t>n</t>
    </r>
    <r>
      <rPr>
        <sz val="10"/>
        <color theme="1"/>
        <rFont val="맑은 고딕"/>
      </rPr>
      <t>umber</t>
    </r>
  </si>
  <si>
    <r>
      <t>n</t>
    </r>
    <r>
      <rPr>
        <sz val="10"/>
        <color rgb="FF000000"/>
        <rFont val="맑은 고딕"/>
      </rPr>
      <t>umber</t>
    </r>
  </si>
  <si>
    <r>
      <t>varchar</t>
    </r>
    <r>
      <rPr>
        <sz val="10"/>
        <color rgb="FF000000"/>
        <rFont val="맑은 고딕"/>
      </rPr>
      <t>2</t>
    </r>
  </si>
  <si>
    <r>
      <t>varchar</t>
    </r>
    <r>
      <rPr>
        <sz val="10"/>
        <color rgb="FF000000"/>
        <rFont val="맑은 고딕"/>
      </rPr>
      <t>2</t>
    </r>
  </si>
  <si>
    <t>*</t>
  </si>
  <si>
    <t>동물질병정보 조회하기</t>
  </si>
  <si>
    <t>동물질병 정보</t>
  </si>
  <si>
    <t>USER_17</t>
  </si>
  <si>
    <r>
      <t>USER_1</t>
    </r>
    <r>
      <rPr>
        <sz val="11"/>
        <color theme="1"/>
        <rFont val="맑은 고딕"/>
      </rPr>
      <t>8</t>
    </r>
  </si>
  <si>
    <r>
      <t>질병 정보</t>
    </r>
    <r>
      <rPr>
        <sz val="11"/>
        <color theme="1"/>
        <rFont val="맑은 고딕"/>
      </rPr>
      <t xml:space="preserve"> 조회</t>
    </r>
  </si>
  <si>
    <t xml:space="preserve">  유기동물 정보 조회하기</t>
  </si>
  <si>
    <r>
      <t xml:space="preserve">  </t>
    </r>
    <r>
      <rPr>
        <b/>
        <sz val="11"/>
        <color theme="1"/>
        <rFont val="맑은 고딕"/>
      </rPr>
      <t>동물질병 정보 조회하기</t>
    </r>
  </si>
  <si>
    <t>NOTI_NO</t>
  </si>
  <si>
    <t>NOTI_TITLE</t>
  </si>
  <si>
    <t>NOTI_CONTENT</t>
  </si>
  <si>
    <t>NOTI_WRITER</t>
  </si>
  <si>
    <t>NOTI_COUNT</t>
  </si>
  <si>
    <t>동물별 분류한 질병정보 보여주기</t>
  </si>
  <si>
    <t>동물별질병정보 조회</t>
  </si>
  <si>
    <t xml:space="preserve">    동물별 질병정보 조회</t>
  </si>
  <si>
    <t>마이페이지</t>
  </si>
  <si>
    <t>USER_19</t>
  </si>
  <si>
    <t>유기동물조회기록 확인</t>
  </si>
  <si>
    <t>유기동물조회 기록</t>
  </si>
  <si>
    <t>R</t>
  </si>
  <si>
    <t>나의 유기동물조회기록 확인</t>
  </si>
  <si>
    <t>공통</t>
  </si>
  <si>
    <t xml:space="preserve">    유기동물조회 기록 상세</t>
  </si>
  <si>
    <t xml:space="preserve">    회원정보 상세</t>
  </si>
  <si>
    <t>회원 유기동물조회 기록</t>
  </si>
  <si>
    <t>USER_SEARCH_REC</t>
  </si>
  <si>
    <t>varchar2</t>
  </si>
  <si>
    <t>나의 책정보</t>
  </si>
  <si>
    <t>즐겨찾기 책</t>
  </si>
  <si>
    <t>사용자가 선호하는 책</t>
  </si>
  <si>
    <t>내가 선호하는 책</t>
  </si>
  <si>
    <t>나의 리뷰</t>
  </si>
  <si>
    <t>내 회원정보</t>
  </si>
  <si>
    <t>책 검색하기</t>
  </si>
  <si>
    <t>원하는 도서 검색</t>
  </si>
  <si>
    <t>책 리스트</t>
  </si>
  <si>
    <t>도서 검색하기</t>
  </si>
  <si>
    <t>도서 리스트</t>
  </si>
  <si>
    <t>베스트셀러</t>
  </si>
  <si>
    <t>카테고리별</t>
  </si>
  <si>
    <t>출판사별</t>
  </si>
  <si>
    <t>작가별</t>
  </si>
  <si>
    <t>베스트셀러 리스트</t>
  </si>
  <si>
    <t>카테고리별 리스트</t>
  </si>
  <si>
    <t>출판사별 리스트</t>
  </si>
  <si>
    <t>작가별 리스트</t>
  </si>
  <si>
    <t>도서 상세보기</t>
  </si>
  <si>
    <t>도서 상세</t>
  </si>
  <si>
    <t>도서 리뷰</t>
  </si>
  <si>
    <t>도서 리뷰 작성</t>
  </si>
  <si>
    <t>도서 리뷰 리스트</t>
  </si>
  <si>
    <t>도서 리뷰 리스트 보기</t>
  </si>
  <si>
    <t>회원정보 보기</t>
  </si>
  <si>
    <t>회원탈퇴하기</t>
  </si>
  <si>
    <t>나의 선호 책 보기</t>
  </si>
  <si>
    <t>나의 선호 책 리스트</t>
  </si>
  <si>
    <t>나의 리뷰 리스트</t>
  </si>
  <si>
    <t>도서 정보 입력하기</t>
  </si>
  <si>
    <t>리뷰 관리</t>
  </si>
  <si>
    <t>도서 리뷰 관리</t>
  </si>
  <si>
    <t>도서리뷰 조회/수정/삭제</t>
  </si>
  <si>
    <t>아이디/비밀번호 등 정보 저장</t>
  </si>
  <si>
    <t>책 정보</t>
  </si>
  <si>
    <t>도서 정보</t>
  </si>
  <si>
    <t>도서 리뷰 정보</t>
  </si>
  <si>
    <t>나의 주문정보</t>
  </si>
  <si>
    <t>주문한 책 목록 조회</t>
  </si>
  <si>
    <t>주문한 책 상세 조회</t>
  </si>
  <si>
    <t>주문한 책 취소</t>
  </si>
  <si>
    <t>주문 목록 조회</t>
  </si>
  <si>
    <t>주문 상세 조회</t>
  </si>
  <si>
    <t>주문 취소</t>
  </si>
  <si>
    <t>주문한 책 취소(주문 후 1일 후에는 취소 불가)</t>
  </si>
  <si>
    <t>내 주문정보</t>
  </si>
  <si>
    <t>내 장바구니</t>
  </si>
  <si>
    <t>장바구니 상품 조회</t>
  </si>
  <si>
    <t>상품 조회</t>
  </si>
  <si>
    <t>상품 목록 조회</t>
  </si>
  <si>
    <t>상품 상세 조회</t>
  </si>
  <si>
    <t>상품 주문</t>
  </si>
  <si>
    <t>책 목록 조회하기</t>
  </si>
  <si>
    <t>책 상세 정보 조회하기</t>
  </si>
  <si>
    <t>책 주문하기</t>
  </si>
  <si>
    <t>조회 및 주문</t>
  </si>
  <si>
    <t>책 목록 조회</t>
  </si>
  <si>
    <t>책 상세 조회</t>
  </si>
  <si>
    <t>책 주문</t>
  </si>
  <si>
    <t>상품평</t>
  </si>
  <si>
    <t>상품평 작성</t>
  </si>
  <si>
    <t>상품평 변경</t>
  </si>
  <si>
    <t>상품평 삭제</t>
  </si>
  <si>
    <t>상품평 조회</t>
  </si>
  <si>
    <t>책 상품평 조회하기</t>
  </si>
  <si>
    <t>책 상품평 작성하기</t>
  </si>
  <si>
    <t>채</t>
  </si>
  <si>
    <t>회원정보 조회</t>
  </si>
  <si>
    <t>내 회원정보 보기</t>
  </si>
  <si>
    <t>내 상품평</t>
  </si>
  <si>
    <t>내가 작성한 책 상품평 조회하기</t>
  </si>
  <si>
    <t>상품 관리</t>
  </si>
  <si>
    <t>상품 조회/수정/삭제</t>
  </si>
  <si>
    <t>상품평 관리</t>
  </si>
  <si>
    <t>상품평 조회/수정/삭제</t>
  </si>
  <si>
    <t>상품 등록/조회/수정/삭제</t>
  </si>
  <si>
    <t>관리자로 로그인</t>
  </si>
  <si>
    <t>주문정보 조회</t>
  </si>
  <si>
    <t>USER_</t>
  </si>
  <si>
    <t>USER_+ROW()-3</t>
  </si>
  <si>
    <t>USER_+"ROW()-3"</t>
  </si>
  <si>
    <t>USER_+</t>
  </si>
  <si>
    <t>상품평 조회</t>
  </si>
  <si>
    <r>
      <rPr>
        <sz val="11"/>
        <color theme="1"/>
        <rFont val="맑은 고딕"/>
      </rPr>
      <t>상품평 조회</t>
    </r>
  </si>
  <si>
    <t>책 조회</t>
  </si>
  <si>
    <t>USER_18</t>
  </si>
  <si>
    <t>Lev4</t>
  </si>
  <si>
    <t>내 상품평 조회</t>
  </si>
  <si>
    <t>내 주문정보 조회</t>
  </si>
  <si>
    <t>주문 상세</t>
  </si>
  <si>
    <t>책 상세</t>
  </si>
  <si>
    <t>내 상품평 확인</t>
  </si>
  <si>
    <t>USER+_</t>
  </si>
  <si>
    <t>USER_20</t>
  </si>
  <si>
    <t>내 주문목록 조회</t>
  </si>
  <si>
    <t>내 주문목록 상세</t>
  </si>
  <si>
    <t>내 주문 상세</t>
  </si>
  <si>
    <t>내 주문 취소</t>
  </si>
  <si>
    <t>내 상품평 삭제</t>
  </si>
  <si>
    <t>책 상품평 조회</t>
  </si>
  <si>
    <t>책 상품평 삭제</t>
  </si>
  <si>
    <t>R,U,D</t>
  </si>
  <si>
    <t>R,D</t>
  </si>
  <si>
    <t>C,R</t>
  </si>
  <si>
    <t>상품 등록</t>
  </si>
  <si>
    <t>상품정보 등록</t>
  </si>
  <si>
    <t>상품정보 조회</t>
  </si>
  <si>
    <t>상품정보 수정</t>
  </si>
  <si>
    <t>상품정보 삭제</t>
  </si>
  <si>
    <t>상품평 수정</t>
  </si>
  <si>
    <t>상품평 확인</t>
  </si>
  <si>
    <t>상품평 조회/삭제</t>
  </si>
  <si>
    <t>ADMIN_13</t>
  </si>
  <si>
    <t>ADMIN_14</t>
  </si>
  <si>
    <t>조회</t>
  </si>
  <si>
    <t>내 정보</t>
  </si>
  <si>
    <t>책 검색</t>
  </si>
  <si>
    <t>내 프로필</t>
  </si>
  <si>
    <t>내 관심책</t>
  </si>
  <si>
    <t>독서록</t>
  </si>
  <si>
    <t>독서록 목록</t>
  </si>
  <si>
    <t>내 프로필 수정</t>
  </si>
  <si>
    <t>내정보 확인</t>
  </si>
  <si>
    <t>관심책 목록</t>
  </si>
  <si>
    <t>회원등록</t>
  </si>
  <si>
    <t>아이디, 비밀번호 등 정보 저장</t>
  </si>
  <si>
    <t>내 회원정보 보기 및 수정</t>
  </si>
  <si>
    <t>내 정보 확인</t>
  </si>
  <si>
    <t>내 관심책 확인</t>
  </si>
  <si>
    <t>내 독서록 작성 및 목록 확인</t>
  </si>
  <si>
    <t>내 독서록 목록 확인</t>
  </si>
  <si>
    <t>관심도서 등록하기</t>
  </si>
  <si>
    <t>관심도서 등록</t>
  </si>
  <si>
    <t>카테고리</t>
  </si>
  <si>
    <t>카테고리별책 목록</t>
  </si>
  <si>
    <t>카테고리별 상세</t>
  </si>
  <si>
    <t>베스트셀러 목록</t>
  </si>
  <si>
    <t>카테고리별 책 목록</t>
  </si>
  <si>
    <t>카테고리별 목록</t>
  </si>
  <si>
    <t>베스트셀러 책 목록</t>
  </si>
  <si>
    <t>독서록 관리</t>
  </si>
  <si>
    <t>회원 정보 관리</t>
  </si>
  <si>
    <t>책 관리</t>
  </si>
  <si>
    <t>독서록 조회/수정/삭제</t>
  </si>
  <si>
    <t>책 조회/수정/삭제</t>
  </si>
  <si>
    <t>내 프로필 확인</t>
  </si>
  <si>
    <t>내 관심책 목록 확인</t>
  </si>
  <si>
    <t>내 독서록</t>
  </si>
  <si>
    <t>내 독서록 목록</t>
  </si>
  <si>
    <t>내 독서록 수정</t>
  </si>
  <si>
    <t>책 검색 목록 보기</t>
  </si>
  <si>
    <t>책 정렬</t>
  </si>
  <si/>
  <si>
    <t>회원</t>
  </si>
  <si>
    <t>홈</t>
  </si>
  <si>
    <t>카테고리별 책목록</t>
  </si>
  <si>
    <t>카테고리별 책 상세</t>
  </si>
  <si>
    <t>베스트셀러 책 상세</t>
  </si>
  <si>
    <t>USER_21</t>
  </si>
  <si>
    <t>USER_22</t>
  </si>
  <si>
    <t>내 프로필 확인하기</t>
  </si>
  <si>
    <t>내 프로필 수정하기</t>
  </si>
  <si>
    <t>내 정보 확인하기</t>
  </si>
  <si>
    <t>내 관심책 목록 확인하기</t>
  </si>
  <si>
    <t xml:space="preserve">내 독서록 목록 </t>
  </si>
  <si>
    <t>내 관심책 목록</t>
  </si>
  <si>
    <t>내 독서록 수정하기</t>
  </si>
  <si>
    <t>책 검색 목록</t>
  </si>
  <si>
    <t>책 상세 조회하기</t>
  </si>
  <si>
    <t>U</t>
  </si>
  <si>
    <t>독서록 수정</t>
  </si>
  <si>
    <t>독서록 조회</t>
  </si>
  <si>
    <t>독서록 삭제</t>
  </si>
  <si>
    <t>독서록 등록</t>
  </si>
  <si>
    <t xml:space="preserve">    ERD 작성</t>
  </si>
  <si>
    <t>JPA 세팅</t>
  </si>
  <si>
    <t xml:space="preserve">    JPA 세팅</t>
  </si>
  <si>
    <t xml:space="preserve">    Spring Boot 세팅</t>
  </si>
  <si>
    <t xml:space="preserve">    내 프로필</t>
  </si>
  <si>
    <t xml:space="preserve">    내 정보</t>
  </si>
  <si>
    <t xml:space="preserve">    내 관심책</t>
  </si>
  <si>
    <t xml:space="preserve">    내 독서록</t>
  </si>
  <si>
    <t xml:space="preserve">      내 프로필 수정</t>
  </si>
  <si>
    <t xml:space="preserve">      독서록 수정</t>
  </si>
  <si>
    <t xml:space="preserve">  책 검색하기</t>
  </si>
  <si>
    <t xml:space="preserve">    책 검색</t>
  </si>
  <si>
    <t xml:space="preserve">    책 검색 목록 조회</t>
  </si>
  <si>
    <t xml:space="preserve">      책 검색 상세 조회</t>
  </si>
  <si>
    <t xml:space="preserve">  카테고리별 책 정렬</t>
  </si>
  <si>
    <r>
      <t xml:space="preserve">  </t>
    </r>
    <r>
      <rPr>
        <b/>
        <sz val="11"/>
        <color theme="1"/>
        <rFont val="맑은 고딕"/>
      </rPr>
      <t>카테고리별 책 정렬</t>
    </r>
  </si>
  <si>
    <t xml:space="preserve">    카테고리별 책 </t>
  </si>
  <si>
    <t xml:space="preserve">    카테고리별 책 목록 조회</t>
  </si>
  <si>
    <t xml:space="preserve">    카테고리별 책 상세 조회</t>
  </si>
  <si>
    <t xml:space="preserve">  베스트셀러 책 정렬</t>
  </si>
  <si>
    <t xml:space="preserve">    베스트셀러별 책 목록 조회</t>
  </si>
  <si>
    <t xml:space="preserve">    베스트셀러별 책 상세 조회</t>
  </si>
  <si>
    <t>IF(G25=0,"Not Started",IF(G25&lt;1,"Progress",IF(G25=1,"")))</t>
  </si>
  <si>
    <t>IF(G29=0,"Not Started",IF(G29&lt;1,"Progress",IF(G29=1,"")))</t>
  </si>
  <si>
    <t xml:space="preserve">    테이블 명세서</t>
  </si>
  <si>
    <t xml:space="preserve">    DB 구현</t>
  </si>
  <si>
    <t xml:space="preserve">    화면설계서</t>
  </si>
  <si>
    <r>
      <t xml:space="preserve">  </t>
    </r>
    <r>
      <rPr>
        <b/>
        <sz val="11"/>
        <color theme="1"/>
        <rFont val="맑은 고딕"/>
      </rPr>
      <t>화면설계서</t>
    </r>
  </si>
  <si>
    <r>
      <t xml:space="preserve">  </t>
    </r>
    <r>
      <rPr>
        <b/>
        <sz val="11"/>
        <color theme="1"/>
        <rFont val="맑은 고딕"/>
      </rPr>
      <t>메뉴 구조도</t>
    </r>
  </si>
  <si>
    <r>
      <rPr>
        <b/>
        <sz val="11"/>
        <color theme="1"/>
        <rFont val="맑은 고딕"/>
      </rPr>
      <t xml:space="preserve">  프로그램 명세서</t>
    </r>
  </si>
  <si>
    <t>ㅇ</t>
  </si>
  <si>
    <t xml:space="preserve">  독서록 관리</t>
  </si>
  <si>
    <t xml:space="preserve">    독서록 조회</t>
  </si>
  <si>
    <t xml:space="preserve">    독서록 수정</t>
  </si>
  <si>
    <t xml:space="preserve">    독서록 상세</t>
  </si>
  <si>
    <t xml:space="preserve">    독서록 삭제</t>
  </si>
  <si>
    <t>member</t>
  </si>
  <si>
    <t>book</t>
  </si>
  <si>
    <t>내 관심책 정보</t>
  </si>
  <si>
    <t>favor_book</t>
  </si>
  <si>
    <t>book_review</t>
  </si>
  <si>
    <t>책 카테고리</t>
  </si>
  <si>
    <t>book_category</t>
  </si>
  <si>
    <t>member_id</t>
  </si>
  <si>
    <t>name</t>
  </si>
  <si>
    <r>
      <rPr>
        <sz val="10"/>
        <color rgb="FF000000"/>
        <rFont val="맑은 고딕"/>
      </rPr>
      <t>name</t>
    </r>
  </si>
  <si>
    <t>email</t>
  </si>
  <si>
    <r>
      <rPr>
        <sz val="10"/>
        <color rgb="FF000000"/>
        <rFont val="맑은 고딕"/>
      </rPr>
      <t>email</t>
    </r>
  </si>
  <si>
    <t>picture</t>
  </si>
  <si>
    <t>authority</t>
  </si>
  <si>
    <t>reg_id</t>
  </si>
  <si>
    <t>chg_id</t>
  </si>
  <si>
    <r>
      <rPr>
        <sz val="10"/>
        <color rgb="FF000000"/>
        <rFont val="맑은 고딕"/>
      </rPr>
      <t>chg_id</t>
    </r>
  </si>
  <si>
    <t>authority</t>
  </si>
  <si>
    <r>
      <rPr>
        <sz val="10"/>
        <color rgb="FF000000"/>
        <rFont val="맑은 고딕"/>
      </rPr>
      <t>authority</t>
    </r>
  </si>
  <si>
    <t>reg_dt</t>
  </si>
  <si>
    <t>chg_dt</t>
  </si>
  <si>
    <t>회원 프로필</t>
  </si>
  <si>
    <t>회원 권한</t>
  </si>
  <si>
    <t>회원 비밀번호</t>
  </si>
  <si>
    <t>password</t>
  </si>
  <si>
    <t>BIGINT</t>
  </si>
  <si>
    <r>
      <rPr>
        <sz val="10"/>
        <color rgb="FF000000"/>
        <rFont val="맑은 고딕"/>
      </rPr>
      <t>BIGINT</t>
    </r>
  </si>
  <si>
    <t>BIGINT</t>
  </si>
  <si>
    <t>BIGINT</t>
  </si>
  <si>
    <t>DATETIME</t>
  </si>
  <si>
    <t>VARCHAR</t>
  </si>
  <si>
    <t>VARCHAR</t>
  </si>
  <si>
    <t>VARCHAR</t>
  </si>
  <si>
    <t>VARCHAR</t>
  </si>
  <si>
    <t>책 번호</t>
  </si>
  <si>
    <t>책 제목</t>
  </si>
  <si>
    <t>책 내용</t>
  </si>
  <si>
    <t>책 작성자</t>
  </si>
  <si>
    <t>책 조회수</t>
  </si>
  <si>
    <t>책 저자</t>
  </si>
  <si>
    <t>독서록 번호</t>
  </si>
  <si>
    <t>독서록 제목</t>
  </si>
  <si>
    <t>독서록 내용</t>
  </si>
  <si>
    <t>title</t>
  </si>
  <si>
    <t>content</t>
  </si>
  <si>
    <r>
      <rPr>
        <sz val="11"/>
        <color theme="1"/>
        <rFont val="맑은 고딕"/>
      </rPr>
      <t>content</t>
    </r>
  </si>
  <si>
    <t>book_review_id</t>
  </si>
  <si>
    <t>book_id</t>
  </si>
  <si>
    <t>book_title</t>
  </si>
  <si>
    <t>author</t>
  </si>
  <si>
    <t>독서록_ㅂ</t>
  </si>
  <si>
    <t>book_review_id</t>
  </si>
  <si>
    <r>
      <rPr>
        <sz val="11"/>
        <color theme="1"/>
        <rFont val="맑은 고딕"/>
      </rPr>
      <t>book_review_id</t>
    </r>
  </si>
  <si>
    <t>관심책 번호</t>
  </si>
  <si>
    <t>관심책 제목</t>
  </si>
  <si>
    <t>관심책 내용</t>
  </si>
  <si>
    <t>content</t>
  </si>
  <si>
    <t>VARCHAR</t>
  </si>
  <si>
    <t>VARCHAR</t>
  </si>
  <si>
    <t>BIGINT</t>
  </si>
  <si>
    <t>TEXT</t>
  </si>
  <si>
    <t>회원 번호</t>
  </si>
  <si>
    <t>BIGINT</t>
  </si>
  <si>
    <t>BIGINT</t>
  </si>
  <si>
    <t>BIGINT</t>
  </si>
  <si>
    <t>BIGINT</t>
  </si>
  <si>
    <t>BIGINT</t>
  </si>
  <si>
    <t>member.member_id</t>
  </si>
  <si>
    <t>book.book_id</t>
  </si>
  <si>
    <t>VARCHAR</t>
  </si>
  <si>
    <t>VARCHAR</t>
  </si>
  <si>
    <t>category</t>
  </si>
  <si>
    <t>평점</t>
  </si>
  <si>
    <t>순위</t>
  </si>
  <si>
    <t>리뷰</t>
  </si>
  <si>
    <t>소개</t>
  </si>
  <si>
    <t>score</t>
  </si>
  <si>
    <t>rank</t>
  </si>
  <si>
    <t>review</t>
  </si>
  <si>
    <t>입력</t>
  </si>
  <si>
    <t>완료</t>
  </si>
  <si>
    <t>입력 완료</t>
  </si>
  <si>
    <t>회원가입 정보 입력</t>
  </si>
  <si>
    <t>회원가입 정보 입력 완료</t>
  </si>
  <si>
    <t>회원가입 완료</t>
  </si>
  <si>
    <t>회원 정보 입력</t>
  </si>
  <si>
    <t>로그인 정보 입력</t>
  </si>
  <si>
    <t>성공</t>
  </si>
  <si>
    <t>로그인 완료</t>
  </si>
  <si>
    <t>내 정보 수정</t>
  </si>
  <si>
    <t>내 회원정보 수정</t>
  </si>
  <si>
    <t>로그인/회원가입</t>
  </si>
  <si>
    <t>이메일 인증번호 입력</t>
  </si>
  <si>
    <t>인증번호 입력</t>
  </si>
  <si>
    <t>비밀번호 수정</t>
  </si>
  <si>
    <t>인증</t>
  </si>
  <si>
    <t>이메일 인증</t>
  </si>
  <si>
    <t>독서록 작성하기</t>
  </si>
  <si>
    <t>내 독서록 상세</t>
  </si>
  <si>
    <t>USER_23</t>
  </si>
  <si>
    <t>USER_24</t>
  </si>
  <si>
    <t>책 상세보기</t>
  </si>
  <si>
    <t>관심도서 추가</t>
  </si>
  <si>
    <t>독서록 작성</t>
  </si>
  <si>
    <t>책 상세 보기</t>
  </si>
  <si>
    <t>관심도서 추가하기</t>
  </si>
  <si>
    <t>USER_25</t>
  </si>
  <si>
    <t>USER_26</t>
  </si>
  <si>
    <t>회원정보 목록</t>
  </si>
  <si>
    <t>회원정보 목록/조회/수정/삭제</t>
  </si>
  <si>
    <t>독서록 목록/조회/수정/삭제</t>
  </si>
  <si>
    <t>독서록 리스트</t>
  </si>
  <si>
    <t>회원정보 리스트</t>
  </si>
  <si>
    <t>회원정보 삭제</t>
  </si>
  <si>
    <t>독서록 상세</t>
  </si>
  <si>
    <t>독서록 목록/상세/수정/삭제</t>
  </si>
  <si>
    <t>회원정보 목록/상세/수정/삭제</t>
  </si>
  <si>
    <t>내 독서록 삭제</t>
  </si>
  <si>
    <t>내 독서록 삭제하기</t>
  </si>
  <si>
    <t>내 관심책 취소</t>
  </si>
  <si>
    <t>USER_27</t>
  </si>
  <si>
    <t xml:space="preserve">      내 정보 수정</t>
  </si>
  <si>
    <t xml:space="preserve">      내 정보 확인</t>
  </si>
  <si>
    <t xml:space="preserve">      독서록 삭제</t>
  </si>
  <si>
    <t xml:space="preserve">      내 독서록 수정</t>
  </si>
  <si>
    <t xml:space="preserve">      내 독서록 삭제</t>
  </si>
  <si>
    <t>=NETWORKDAYS(D11,E11)</t>
  </si>
  <si>
    <t xml:space="preserve">      책 검색 목록 조회</t>
  </si>
  <si>
    <t xml:space="preserve">      관심책 추가</t>
  </si>
  <si>
    <t xml:space="preserve">      독서록 작성</t>
  </si>
  <si>
    <t xml:space="preserve">      내 독서록 목록</t>
  </si>
  <si>
    <t xml:space="preserve">      내 독서록 상세</t>
  </si>
  <si>
    <t xml:space="preserve">    회원정보 목록</t>
  </si>
  <si>
    <t xml:space="preserve">    독서록 목록</t>
  </si>
  <si>
    <t xml:space="preserve">    비밀번호 수정</t>
  </si>
  <si>
    <t>회원 아이디</t>
  </si>
  <si>
    <t>id</t>
  </si>
  <si>
    <r>
      <rPr>
        <sz val="10"/>
        <color rgb="FF000000"/>
        <rFont val="맑은 고딕"/>
      </rPr>
      <t>id</t>
    </r>
  </si>
  <si>
    <t>검색날짜</t>
  </si>
  <si>
    <t>책 검색날짜</t>
  </si>
  <si>
    <t>책 검색단어</t>
  </si>
  <si>
    <t>검색어</t>
  </si>
  <si>
    <t>책 소제목</t>
  </si>
  <si>
    <t>책 이미지</t>
  </si>
  <si>
    <t>책 상세 카테고리</t>
  </si>
  <si>
    <t>책 순위</t>
  </si>
  <si>
    <t>책 태그</t>
  </si>
  <si>
    <t>책 출간일</t>
  </si>
  <si>
    <t>search_date</t>
  </si>
  <si>
    <t>search_by</t>
  </si>
  <si>
    <t>sub_name</t>
  </si>
  <si>
    <t>책 이름</t>
  </si>
  <si>
    <t>책 소이름</t>
  </si>
  <si>
    <t>img</t>
  </si>
  <si>
    <t>detailCategory</t>
  </si>
  <si>
    <t>tag</t>
  </si>
  <si>
    <t>publication_date</t>
  </si>
  <si>
    <t>member_book</t>
  </si>
  <si>
    <t>member_book_id</t>
  </si>
  <si>
    <t>favor_book_id</t>
  </si>
  <si>
    <t>LONGTEXT</t>
  </si>
</sst>
</file>

<file path=xl/styles.xml><?xml version="1.0" encoding="utf-8"?>
<styleSheet xmlns="http://schemas.openxmlformats.org/spreadsheetml/2006/main">
  <numFmts count="6">
    <numFmt numFmtId="176" formatCode="yy/mm/dd"/>
    <numFmt numFmtId="177" formatCode="_-* #,##0.00_-;\-* #,##0.00_-;_-* &quot;-&quot;??_-;_-@_-"/>
    <numFmt numFmtId="178" formatCode="_-&quot;₩&quot;* #,##0.00_-;\-&quot;₩&quot;* #,##0.00_-;_-&quot;₩&quot;* &quot;-&quot;??_-;_-@_-"/>
    <numFmt numFmtId="179" formatCode="0%"/>
    <numFmt numFmtId="180" formatCode="_-* #,##0_-;\-* #,##0_-;_-* &quot;-&quot;_-;_-@_-"/>
    <numFmt numFmtId="181" formatCode="_-&quot;₩&quot;* #,##0_-;\\\-&quot;₩&quot;* #,##0_-;_-&quot;₩&quot;* &quot;-&quot;_-;_-@_-"/>
  </numFmts>
  <fonts count="32">
    <font>
      <sz val="11.0"/>
      <name val="맑은 고딕"/>
      <scheme val="minor"/>
      <color theme="1"/>
    </font>
    <font>
      <sz val="8.0"/>
      <name val="맑은 고딕"/>
      <scheme val="minor"/>
      <color rgb="FF000000"/>
    </font>
    <font>
      <b/>
      <sz val="11.0"/>
      <name val="맑은 고딕"/>
      <scheme val="minor"/>
      <color theme="1"/>
    </font>
    <font>
      <b/>
      <sz val="12.0"/>
      <name val="Malgun Gothic"/>
      <color rgb="FF000000"/>
    </font>
    <font>
      <sz val="11.0"/>
      <name val="Malgun Gothic"/>
      <color rgb="FF000000"/>
    </font>
    <font>
      <sz val="11.0"/>
      <name val="Arial"/>
      <color rgb="FF000000"/>
    </font>
    <font>
      <b/>
      <sz val="11.0"/>
      <name val="Malgun Gothic"/>
      <color rgb="FF000000"/>
    </font>
    <font>
      <sz val="11.0"/>
      <name val="ＭＳ Ｐゴシック"/>
      <color rgb="FF000000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color theme="1"/>
    </font>
    <font>
      <b/>
      <sz val="32.0"/>
      <name val="맑은 고딕"/>
      <color theme="1"/>
    </font>
    <font>
      <b/>
      <sz val="10.0"/>
      <name val="맑은 고딕"/>
      <color rgb="FFFFFFFF"/>
    </font>
    <font>
      <sz val="10.0"/>
      <name val="맑은 고딕"/>
      <color rgb="FF000000"/>
    </font>
    <font>
      <sz val="10.0"/>
      <name val="맑은 고딕"/>
      <color theme="1"/>
    </font>
    <font>
      <sz val="10.0"/>
      <name val="돋움"/>
      <color rgb="FF000000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  <font>
      <b/>
      <sz val="11.0"/>
      <name val="맑은 고딕"/>
      <color theme="1"/>
    </font>
  </fonts>
  <fills count="44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theme="9" tint="0.399980"/>
        <bgColor rgb="FF000000"/>
      </patternFill>
    </fill>
    <fill>
      <patternFill patternType="solid">
        <fgColor theme="0" tint="-0.049990"/>
        <bgColor rgb="FF000000"/>
      </patternFill>
    </fill>
    <fill>
      <patternFill patternType="solid">
        <fgColor theme="0" tint="-0.249980"/>
        <bgColor rgb="FF000000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5B9BD5"/>
        <bgColor rgb="FF5B9BD5"/>
      </patternFill>
    </fill>
    <fill>
      <patternFill patternType="solid">
        <fgColor theme="4"/>
        <bgColor rgb="FF000000"/>
      </patternFill>
    </fill>
    <fill>
      <patternFill patternType="solid">
        <fgColor theme="4"/>
        <bgColor rgb="FF5B9BD5"/>
      </patternFill>
    </fill>
    <fill>
      <patternFill patternType="solid">
        <fgColor theme="2" tint="-0.099980"/>
        <bgColor rgb="FF000000"/>
      </patternFill>
    </fill>
    <fill>
      <patternFill patternType="solid">
        <fgColor theme="9"/>
        <bgColor theme="9"/>
      </patternFill>
    </fill>
    <fill>
      <patternFill patternType="solid">
        <fgColor theme="5" tint="0.799950"/>
        <bgColor theme="5" tint="0.799950"/>
      </patternFill>
    </fill>
    <fill>
      <patternFill patternType="solid">
        <fgColor theme="4" tint="0.799950"/>
        <bgColor theme="4" tint="0.79995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8" tint="-0.249980"/>
        <bgColor rgb="FF0000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50">
    <xf numFmtId="0" fontId="0" fillId="0" borderId="0">
      <alignment vertical="center"/>
    </xf>
    <xf numFmtId="0" fontId="7" fillId="0" borderId="0"/>
    <xf numFmtId="0" fontId="8" fillId="0" borderId="0" applyAlignment="0" applyBorder="0" applyFill="0" applyNumberFormat="0" applyProtection="0">
      <alignment vertical="center"/>
    </xf>
    <xf numFmtId="0" fontId="9" fillId="0" borderId="0" applyAlignment="0" applyBorder="0" applyFill="0" applyNumberFormat="0" applyProtection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0" fillId="14" borderId="9" applyAlignment="0" applyFont="0" applyNumberFormat="0" applyProtection="0">
      <alignment vertical="center"/>
    </xf>
    <xf numFmtId="0" fontId="16" fillId="0" borderId="0" applyAlignment="0" applyBorder="0" applyFill="0" applyNumberFormat="0" applyProtection="0">
      <alignment vertical="center"/>
    </xf>
    <xf numFmtId="0" fontId="17" fillId="0" borderId="0" applyAlignment="0" applyBorder="0" applyFill="0" applyNumberFormat="0" applyProtection="0">
      <alignment vertical="center"/>
    </xf>
    <xf numFmtId="0" fontId="18" fillId="0" borderId="10" applyAlignment="0" applyFill="0" applyNumberFormat="0" applyProtection="0">
      <alignment vertical="center"/>
    </xf>
    <xf numFmtId="0" fontId="19" fillId="0" borderId="11" applyAlignment="0" applyFill="0" applyNumberFormat="0" applyProtection="0">
      <alignment vertical="center"/>
    </xf>
    <xf numFmtId="0" fontId="20" fillId="0" borderId="12" applyAlignment="0" applyFill="0" applyNumberFormat="0" applyProtection="0">
      <alignment vertical="center"/>
    </xf>
    <xf numFmtId="0" fontId="20" fillId="0" borderId="0" applyAlignment="0" applyBorder="0" applyFill="0" applyNumberFormat="0" applyProtection="0">
      <alignment vertical="center"/>
    </xf>
    <xf numFmtId="0" fontId="21" fillId="15" borderId="13" applyAlignment="0" applyNumberFormat="0" applyProtection="0">
      <alignment vertical="center"/>
    </xf>
    <xf numFmtId="0" fontId="22" fillId="16" borderId="14" applyAlignment="0" applyNumberFormat="0" applyProtection="0">
      <alignment vertical="center"/>
    </xf>
    <xf numFmtId="0" fontId="23" fillId="16" borderId="13" applyAlignment="0" applyNumberFormat="0" applyProtection="0">
      <alignment vertical="center"/>
    </xf>
    <xf numFmtId="0" fontId="24" fillId="17" borderId="15" applyAlignment="0" applyNumberFormat="0" applyProtection="0">
      <alignment vertical="center"/>
    </xf>
    <xf numFmtId="0" fontId="25" fillId="0" borderId="16" applyAlignment="0" applyFill="0" applyNumberFormat="0" applyProtection="0">
      <alignment vertical="center"/>
    </xf>
    <xf numFmtId="0" fontId="2" fillId="0" borderId="17" applyAlignment="0" applyFill="0" applyNumberFormat="0" applyProtection="0">
      <alignment vertical="center"/>
    </xf>
    <xf numFmtId="0" fontId="26" fillId="18" borderId="0" applyAlignment="0" applyBorder="0" applyNumberFormat="0" applyProtection="0">
      <alignment vertical="center"/>
    </xf>
    <xf numFmtId="0" fontId="27" fillId="19" borderId="0" applyAlignment="0" applyBorder="0" applyNumberFormat="0" applyProtection="0">
      <alignment vertical="center"/>
    </xf>
    <xf numFmtId="0" fontId="28" fillId="20" borderId="0" applyAlignment="0" applyBorder="0" applyNumberFormat="0" applyProtection="0">
      <alignment vertical="center"/>
    </xf>
    <xf numFmtId="0" fontId="29" fillId="8" borderId="0" applyAlignment="0" applyBorder="0" applyNumberFormat="0" applyProtection="0">
      <alignment vertical="center"/>
    </xf>
    <xf numFmtId="0" fontId="0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29" fillId="23" borderId="0" applyAlignment="0" applyBorder="0" applyNumberFormat="0" applyProtection="0">
      <alignment vertical="center"/>
    </xf>
    <xf numFmtId="0" fontId="29" fillId="24" borderId="0" applyAlignment="0" applyBorder="0" applyNumberFormat="0" applyProtection="0">
      <alignment vertical="center"/>
    </xf>
    <xf numFmtId="0" fontId="0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29" fillId="27" borderId="0" applyAlignment="0" applyBorder="0" applyNumberFormat="0" applyProtection="0">
      <alignment vertical="center"/>
    </xf>
    <xf numFmtId="0" fontId="29" fillId="28" borderId="0" applyAlignment="0" applyBorder="0" applyNumberFormat="0" applyProtection="0">
      <alignment vertical="center"/>
    </xf>
    <xf numFmtId="0" fontId="0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29" fillId="31" borderId="0" applyAlignment="0" applyBorder="0" applyNumberFormat="0" applyProtection="0">
      <alignment vertical="center"/>
    </xf>
    <xf numFmtId="0" fontId="29" fillId="32" borderId="0" applyAlignment="0" applyBorder="0" applyNumberFormat="0" applyProtection="0">
      <alignment vertical="center"/>
    </xf>
    <xf numFmtId="0" fontId="0" fillId="33" borderId="0" applyAlignment="0" applyBorder="0" applyNumberFormat="0" applyProtection="0">
      <alignment vertical="center"/>
    </xf>
    <xf numFmtId="0" fontId="0" fillId="34" borderId="0" applyAlignment="0" applyBorder="0" applyNumberFormat="0" applyProtection="0">
      <alignment vertical="center"/>
    </xf>
    <xf numFmtId="0" fontId="29" fillId="35" borderId="0" applyAlignment="0" applyBorder="0" applyNumberFormat="0" applyProtection="0">
      <alignment vertical="center"/>
    </xf>
    <xf numFmtId="0" fontId="29" fillId="36" borderId="0" applyAlignment="0" applyBorder="0" applyNumberFormat="0" applyProtection="0">
      <alignment vertical="center"/>
    </xf>
    <xf numFmtId="0" fontId="0" fillId="37" borderId="0" applyAlignment="0" applyBorder="0" applyNumberFormat="0" applyProtection="0">
      <alignment vertical="center"/>
    </xf>
    <xf numFmtId="0" fontId="0" fillId="38" borderId="0" applyAlignment="0" applyBorder="0" applyNumberFormat="0" applyProtection="0">
      <alignment vertical="center"/>
    </xf>
    <xf numFmtId="0" fontId="29" fillId="39" borderId="0" applyAlignment="0" applyBorder="0" applyNumberFormat="0" applyProtection="0">
      <alignment vertical="center"/>
    </xf>
    <xf numFmtId="0" fontId="29" fillId="40" borderId="0" applyAlignment="0" applyBorder="0" applyNumberFormat="0" applyProtection="0">
      <alignment vertical="center"/>
    </xf>
    <xf numFmtId="0" fontId="0" fillId="41" borderId="0" applyAlignment="0" applyBorder="0" applyNumberFormat="0" applyProtection="0">
      <alignment vertical="center"/>
    </xf>
    <xf numFmtId="0" fontId="0" fillId="42" borderId="0" applyAlignment="0" applyBorder="0" applyNumberFormat="0" applyProtection="0">
      <alignment vertical="center"/>
    </xf>
    <xf numFmtId="0" fontId="29" fillId="2" borderId="0" applyAlignment="0" applyBorder="0" applyNumberFormat="0" applyProtection="0">
      <alignment vertical="center"/>
    </xf>
    <xf numFmtId="0" fontId="30" fillId="0" borderId="0" applyAlignment="0" applyBorder="0" applyFill="0" applyNumberFormat="0" applyProtection="0">
      <alignment vertical="center"/>
    </xf>
  </cellStyleXfs>
  <cellXfs count="13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ill="1" applyBorder="1" applyAlignment="1">
      <alignment horizontal="center" vertical="center"/>
    </xf>
    <xf numFmtId="0" fontId="2" fillId="2" borderId="1" xfId="0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1" xfId="0" applyBorder="1" applyProtection="1">
      <alignment vertical="center"/>
      <protection locked="0"/>
    </xf>
    <xf numFmtId="176" fontId="0" fillId="0" borderId="1" xfId="0" applyNumberFormat="1" applyBorder="1" applyProtection="1">
      <alignment vertical="center"/>
      <protection locked="0"/>
    </xf>
    <xf numFmtId="9" fontId="0" fillId="0" borderId="1" xfId="0" applyNumberFormat="1" applyBorder="1" applyAlignment="1" applyProtection="1">
      <alignment horizontal="right"/>
      <protection locked="0"/>
    </xf>
    <xf numFmtId="0" fontId="2" fillId="0" borderId="1" xfId="0" applyBorder="1" applyProtection="1">
      <alignment vertical="center"/>
      <protection locked="0"/>
    </xf>
    <xf numFmtId="0" fontId="6" fillId="6" borderId="1" xfId="0" applyFill="1" applyBorder="1" applyAlignment="1" applyProtection="1">
      <protection locked="0"/>
    </xf>
    <xf numFmtId="176" fontId="4" fillId="6" borderId="1" xfId="0" applyNumberFormat="1" applyFill="1" applyBorder="1" applyAlignment="1" applyProtection="1">
      <alignment horizontal="left"/>
      <protection locked="0"/>
    </xf>
    <xf numFmtId="176" fontId="4" fillId="6" borderId="1" xfId="0" applyNumberFormat="1" applyFill="1" applyBorder="1" applyAlignment="1" applyProtection="1">
      <alignment horizontal="right"/>
      <protection locked="0"/>
    </xf>
    <xf numFmtId="0" fontId="0" fillId="0" borderId="1" xfId="0" applyBorder="1" applyAlignment="1" applyProtection="1">
      <alignment horizontal="right"/>
    </xf>
    <xf numFmtId="9" fontId="0" fillId="0" borderId="1" xfId="0" applyNumberFormat="1" applyBorder="1" applyAlignment="1" applyProtection="1">
      <alignment horizontal="right"/>
    </xf>
    <xf numFmtId="0" fontId="4" fillId="6" borderId="1" xfId="0" applyFill="1" applyBorder="1" applyAlignment="1" applyProtection="1">
      <alignment horizontal="right" wrapText="1"/>
    </xf>
    <xf numFmtId="9" fontId="4" fillId="6" borderId="1" xfId="0" applyNumberFormat="1" applyFill="1" applyBorder="1" applyAlignment="1" applyProtection="1">
      <alignment horizontal="right" wrapText="1"/>
    </xf>
    <xf numFmtId="0" fontId="0" fillId="0" borderId="0" xfId="0" applyAlignment="1" applyProtection="1">
      <alignment horizontal="right"/>
    </xf>
    <xf numFmtId="9" fontId="0" fillId="0" borderId="0" xfId="0" applyNumberFormat="1" applyAlignment="1" applyProtection="1">
      <alignment horizontal="right"/>
    </xf>
    <xf numFmtId="0" fontId="0" fillId="0" borderId="1" xfId="0" applyBorder="1" applyProtection="1">
      <alignment vertical="center"/>
    </xf>
    <xf numFmtId="176" fontId="4" fillId="6" borderId="1" xfId="0" applyNumberFormat="1" applyFill="1" applyBorder="1" applyAlignment="1" applyProtection="1">
      <alignment horizontal="left"/>
    </xf>
    <xf numFmtId="0" fontId="0" fillId="0" borderId="0" xfId="0" applyProtection="1">
      <alignment vertical="center"/>
    </xf>
    <xf numFmtId="0" fontId="3" fillId="5" borderId="1" xfId="0" applyFill="1" applyBorder="1" applyAlignment="1" applyProtection="1">
      <alignment horizontal="center" vertical="center"/>
      <protection locked="0"/>
    </xf>
    <xf numFmtId="176" fontId="3" fillId="5" borderId="1" xfId="0" applyNumberFormat="1" applyFill="1" applyBorder="1" applyAlignment="1" applyProtection="1">
      <alignment horizontal="center" vertical="center"/>
      <protection locked="0"/>
    </xf>
    <xf numFmtId="0" fontId="4" fillId="6" borderId="1" xfId="0" applyFill="1" applyBorder="1" applyAlignment="1" applyProtection="1">
      <protection locked="0"/>
    </xf>
    <xf numFmtId="9" fontId="5" fillId="6" borderId="1" xfId="0" applyNumberFormat="1" applyFill="1" applyBorder="1" applyAlignment="1" applyProtection="1">
      <alignment horizontal="right"/>
    </xf>
    <xf numFmtId="0" fontId="6" fillId="9" borderId="1" xfId="0" applyFill="1" applyBorder="1" applyAlignment="1" applyProtection="1">
      <protection locked="0"/>
    </xf>
    <xf numFmtId="0" fontId="4" fillId="7" borderId="1" xfId="0" applyFill="1" applyBorder="1" applyAlignment="1" applyProtection="1">
      <protection locked="0"/>
    </xf>
    <xf numFmtId="176" fontId="4" fillId="7" borderId="1" xfId="0" applyNumberFormat="1" applyFill="1" applyBorder="1" applyAlignment="1" applyProtection="1">
      <alignment horizontal="left"/>
    </xf>
    <xf numFmtId="176" fontId="4" fillId="7" borderId="1" xfId="0" applyNumberFormat="1" applyFill="1" applyBorder="1" applyAlignment="1" applyProtection="1">
      <alignment horizontal="right"/>
      <protection locked="0"/>
    </xf>
    <xf numFmtId="0" fontId="4" fillId="7" borderId="1" xfId="0" applyFill="1" applyBorder="1" applyAlignment="1" applyProtection="1">
      <alignment horizontal="right" wrapText="1"/>
    </xf>
    <xf numFmtId="9" fontId="4" fillId="7" borderId="1" xfId="0" applyNumberFormat="1" applyFill="1" applyBorder="1" applyAlignment="1" applyProtection="1">
      <alignment horizontal="right" wrapText="1"/>
    </xf>
    <xf numFmtId="0" fontId="0" fillId="0" borderId="1" xfId="0" applyFill="1" applyBorder="1" applyProtection="1">
      <alignment vertical="center"/>
    </xf>
    <xf numFmtId="0" fontId="2" fillId="8" borderId="1" xfId="0" applyFill="1" applyBorder="1" applyProtection="1">
      <alignment vertical="center"/>
      <protection locked="0"/>
    </xf>
    <xf numFmtId="0" fontId="0" fillId="8" borderId="1" xfId="0" applyFill="1" applyBorder="1" applyProtection="1">
      <alignment vertical="center"/>
      <protection locked="0"/>
    </xf>
    <xf numFmtId="0" fontId="0" fillId="8" borderId="1" xfId="0" applyFill="1" applyBorder="1" applyProtection="1">
      <alignment vertical="center"/>
    </xf>
    <xf numFmtId="176" fontId="0" fillId="8" borderId="1" xfId="0" applyNumberFormat="1" applyFill="1" applyBorder="1" applyProtection="1">
      <alignment vertical="center"/>
      <protection locked="0"/>
    </xf>
    <xf numFmtId="0" fontId="0" fillId="8" borderId="1" xfId="0" applyFill="1" applyBorder="1" applyAlignment="1" applyProtection="1">
      <alignment horizontal="right"/>
    </xf>
    <xf numFmtId="9" fontId="0" fillId="8" borderId="1" xfId="0" applyNumberFormat="1" applyFill="1" applyBorder="1" applyAlignment="1" applyProtection="1">
      <alignment horizontal="right"/>
    </xf>
    <xf numFmtId="0" fontId="3" fillId="5" borderId="1" xfId="0" applyFill="1" applyBorder="1" applyAlignment="1" applyProtection="1">
      <alignment horizontal="center"/>
      <protection locked="0"/>
    </xf>
    <xf numFmtId="9" fontId="3" fillId="5" borderId="1" xfId="0" applyNumberFormat="1" applyFill="1" applyBorder="1" applyAlignment="1" applyProtection="1">
      <alignment horizontal="center" vertical="center"/>
      <protection locked="0"/>
    </xf>
    <xf numFmtId="9" fontId="0" fillId="0" borderId="1" xfId="0" applyNumberFormat="1" applyFill="1" applyBorder="1" applyAlignment="1" applyProtection="1">
      <alignment horizontal="right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10" borderId="1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3" xfId="0" applyFill="1" applyBorder="1" applyAlignment="1">
      <alignment horizontal="center" vertical="center"/>
    </xf>
    <xf numFmtId="0" fontId="10" fillId="0" borderId="1" xfId="0" applyBorder="1" applyAlignment="1">
      <alignment horizontal="center" vertical="center"/>
    </xf>
    <xf numFmtId="0" fontId="12" fillId="11" borderId="8" xfId="1" applyFill="1" applyBorder="1" applyAlignment="1">
      <alignment horizontal="center" vertical="center" wrapText="1"/>
    </xf>
    <xf numFmtId="0" fontId="13" fillId="0" borderId="1" xfId="1" applyBorder="1" applyAlignment="1">
      <alignment horizontal="center" vertical="center" wrapText="1"/>
    </xf>
    <xf numFmtId="0" fontId="13" fillId="12" borderId="4" xfId="1" applyFill="1" applyBorder="1" applyAlignment="1">
      <alignment horizontal="center" vertical="center" wrapText="1"/>
    </xf>
    <xf numFmtId="0" fontId="10" fillId="12" borderId="1" xfId="0" applyFill="1" applyBorder="1" applyAlignment="1">
      <alignment horizontal="center" vertical="center"/>
    </xf>
    <xf numFmtId="0" fontId="14" fillId="13" borderId="1" xfId="0" applyFill="1" applyBorder="1" applyAlignment="1">
      <alignment horizontal="center" vertical="center"/>
    </xf>
    <xf numFmtId="0" fontId="13" fillId="12" borderId="1" xfId="1" applyFill="1" applyBorder="1" applyAlignment="1">
      <alignment horizontal="center" vertical="center" wrapText="1"/>
    </xf>
    <xf numFmtId="0" fontId="13" fillId="12" borderId="4" xfId="1" applyFill="1" applyBorder="1" applyAlignment="1">
      <alignment vertical="center" wrapText="1"/>
    </xf>
    <xf numFmtId="0" fontId="13" fillId="0" borderId="1" xfId="1" applyBorder="1" applyAlignment="1">
      <alignment vertical="center" wrapText="1"/>
    </xf>
    <xf numFmtId="0" fontId="13" fillId="12" borderId="1" xfId="1" applyFill="1" applyBorder="1" applyAlignment="1">
      <alignment vertical="center" wrapText="1"/>
    </xf>
    <xf numFmtId="0" fontId="14" fillId="13" borderId="1" xfId="0" applyFill="1" applyBorder="1" applyAlignment="1">
      <alignment horizontal="left" vertical="center"/>
    </xf>
    <xf numFmtId="0" fontId="10" fillId="0" borderId="1" xfId="0" applyFill="1" applyBorder="1" applyAlignment="1">
      <alignment horizontal="center" vertical="center"/>
    </xf>
    <xf numFmtId="0" fontId="13" fillId="0" borderId="1" xfId="1" applyFill="1" applyBorder="1" applyAlignment="1">
      <alignment horizontal="center" vertical="center"/>
    </xf>
    <xf numFmtId="0" fontId="10" fillId="12" borderId="7" xfId="0" applyFill="1" applyBorder="1" applyAlignment="1">
      <alignment horizontal="center" vertical="center"/>
    </xf>
    <xf numFmtId="0" fontId="10" fillId="0" borderId="7" xfId="0" applyFill="1" applyBorder="1" applyAlignment="1">
      <alignment horizontal="center" vertical="center"/>
    </xf>
    <xf numFmtId="0" fontId="14" fillId="13" borderId="7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5" fillId="0" borderId="2" xfId="1" applyFill="1" applyBorder="1" applyAlignment="1">
      <alignment horizontal="center" vertical="center" wrapText="1"/>
    </xf>
    <xf numFmtId="0" fontId="15" fillId="0" borderId="3" xfId="1" applyFill="1" applyBorder="1" applyAlignment="1">
      <alignment horizontal="center" vertical="center" wrapText="1"/>
    </xf>
    <xf numFmtId="0" fontId="15" fillId="0" borderId="4" xfId="1" applyFill="1" applyBorder="1" applyAlignment="1">
      <alignment horizontal="center" vertical="center" wrapText="1"/>
    </xf>
    <xf numFmtId="0" fontId="13" fillId="0" borderId="2" xfId="1" applyFill="1" applyBorder="1" applyAlignment="1">
      <alignment horizontal="center" vertical="center" wrapText="1"/>
    </xf>
    <xf numFmtId="0" fontId="13" fillId="0" borderId="3" xfId="1" applyFill="1" applyBorder="1" applyAlignment="1">
      <alignment horizontal="center" vertical="center" wrapText="1"/>
    </xf>
    <xf numFmtId="0" fontId="13" fillId="0" borderId="4" xfId="1" applyFill="1" applyBorder="1" applyAlignment="1">
      <alignment horizontal="center" vertical="center" wrapText="1"/>
    </xf>
    <xf numFmtId="0" fontId="11" fillId="0" borderId="1" xfId="0" applyBorder="1" applyAlignment="1">
      <alignment horizontal="center" vertical="center"/>
    </xf>
    <xf numFmtId="0" fontId="13" fillId="0" borderId="4" xfId="1" applyBorder="1" applyAlignment="1">
      <alignment horizontal="center" vertical="center" wrapText="1"/>
    </xf>
    <xf numFmtId="0" fontId="13" fillId="0" borderId="2" xfId="1" applyBorder="1" applyAlignment="1">
      <alignment horizontal="center" vertical="center" wrapText="1"/>
    </xf>
    <xf numFmtId="0" fontId="13" fillId="0" borderId="1" xfId="1" applyFill="1" applyBorder="1" applyAlignment="1">
      <alignment horizontal="center" vertical="center" wrapText="1"/>
    </xf>
    <xf numFmtId="0" fontId="0" fillId="0" borderId="3" xfId="0" applyFill="1" applyBorder="1" applyProtection="1">
      <alignment vertical="center"/>
      <protection locked="0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10" fillId="0" borderId="4" xfId="0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0" fillId="10" borderId="5" xfId="0" applyFill="1" applyBorder="1" applyAlignment="1">
      <alignment vertical="center"/>
    </xf>
    <xf numFmtId="0" fontId="0" fillId="10" borderId="6" xfId="0" applyFill="1" applyBorder="1" applyAlignment="1">
      <alignment vertical="center"/>
    </xf>
    <xf numFmtId="0" fontId="0" fillId="10" borderId="7" xfId="0" applyFill="1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3" xfId="0" applyBorder="1" applyProtection="1">
      <alignment vertical="center"/>
      <protection locked="0"/>
    </xf>
    <xf numFmtId="0" fontId="10" fillId="0" borderId="1" xfId="0" applyBorder="1" applyProtection="1">
      <alignment vertical="center"/>
      <protection locked="0"/>
    </xf>
    <xf numFmtId="0" fontId="31" fillId="0" borderId="1" xfId="0" applyBorder="1" applyProtection="1">
      <alignment vertical="center"/>
      <protection locked="0"/>
    </xf>
    <xf numFmtId="9" fontId="0" fillId="36" borderId="1" xfId="0" applyNumberFormat="1" applyFill="1" applyBorder="1" applyAlignment="1" applyProtection="1">
      <alignment horizontal="right"/>
      <protection locked="0"/>
    </xf>
    <xf numFmtId="9" fontId="0" fillId="39" borderId="1" xfId="0" applyNumberFormat="1" applyFill="1" applyBorder="1" applyAlignment="1" applyProtection="1">
      <alignment horizontal="right"/>
      <protection locked="0"/>
    </xf>
    <xf numFmtId="9" fontId="0" fillId="43" borderId="1" xfId="0" applyNumberFormat="1" applyFill="1" applyBorder="1" applyAlignment="1" applyProtection="1">
      <alignment horizontal="right"/>
      <protection locked="0"/>
    </xf>
    <xf numFmtId="9" fontId="0" fillId="38" borderId="1" xfId="0" applyNumberFormat="1" applyFill="1" applyBorder="1" applyAlignment="1" applyProtection="1">
      <alignment horizontal="right"/>
      <protection locked="0"/>
    </xf>
    <xf numFmtId="9" fontId="0" fillId="8" borderId="1" xfId="0" applyNumberFormat="1" applyFill="1" applyBorder="1" applyAlignment="1" applyProtection="1">
      <alignment horizontal="right"/>
      <protection locked="0"/>
    </xf>
    <xf numFmtId="0" fontId="13" fillId="0" borderId="4" xfId="1" applyBorder="1" applyAlignment="1">
      <alignment vertical="center" wrapText="1"/>
    </xf>
    <xf numFmtId="0" fontId="13" fillId="0" borderId="4" xfId="1" applyFill="1" applyBorder="1" applyAlignment="1">
      <alignment vertical="center" wrapText="1"/>
    </xf>
    <xf numFmtId="0" fontId="13" fillId="0" borderId="1" xfId="1" applyFill="1" applyBorder="1" applyAlignment="1">
      <alignment vertical="center" wrapText="1"/>
    </xf>
    <xf numFmtId="0" fontId="13" fillId="0" borderId="18" xfId="1" applyFill="1" applyBorder="1" applyAlignment="1">
      <alignment horizontal="center" vertical="center" wrapText="1"/>
    </xf>
    <xf numFmtId="0" fontId="13" fillId="0" borderId="2" xfId="1" applyBorder="1" applyAlignment="1">
      <alignment vertical="center" wrapText="1"/>
    </xf>
    <xf numFmtId="0" fontId="13" fillId="0" borderId="2" xfId="1" applyFill="1" applyBorder="1" applyAlignment="1">
      <alignment vertical="center" wrapText="1"/>
    </xf>
    <xf numFmtId="0" fontId="15" fillId="0" borderId="2" xfId="1" applyFill="1" applyBorder="1" applyAlignment="1">
      <alignment vertical="center" wrapText="1"/>
    </xf>
    <xf numFmtId="0" fontId="15" fillId="0" borderId="3" xfId="1" applyFill="1" applyBorder="1" applyAlignment="1">
      <alignment vertical="center" wrapText="1"/>
    </xf>
    <xf numFmtId="0" fontId="15" fillId="0" borderId="4" xfId="1" applyFill="1" applyBorder="1" applyAlignment="1">
      <alignment vertical="center" wrapText="1"/>
    </xf>
    <xf numFmtId="0" fontId="15" fillId="0" borderId="1" xfId="1" applyFill="1" applyBorder="1" applyAlignment="1">
      <alignment vertical="center" wrapText="1"/>
    </xf>
    <xf numFmtId="0" fontId="15" fillId="0" borderId="1" xfId="1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3" fillId="0" borderId="18" xfId="1" applyFill="1" applyBorder="1" applyAlignment="1">
      <alignment vertical="center" wrapText="1"/>
    </xf>
    <xf numFmtId="0" fontId="13" fillId="0" borderId="3" xfId="1" applyFill="1" applyBorder="1" applyAlignment="1">
      <alignment vertical="center" wrapText="1"/>
    </xf>
  </cellXfs>
  <cellStyles count="50">
    <cellStyle name="20% - 강조색1" xfId="26" builtinId="30"/>
    <cellStyle name="20% - 강조색2" xfId="30" builtinId="34"/>
    <cellStyle name="20% - 강조색3" xfId="34" builtinId="38"/>
    <cellStyle name="20% - 강조색4" xfId="38" builtinId="42"/>
    <cellStyle name="20% - 강조색5" xfId="42" builtinId="46"/>
    <cellStyle name="20% - 강조색6" xfId="46" builtinId="50"/>
    <cellStyle name="40% - 강조색1" xfId="27" builtinId="31"/>
    <cellStyle name="40% - 강조색2" xfId="31" builtinId="35"/>
    <cellStyle name="40% - 강조색3" xfId="35" builtinId="39"/>
    <cellStyle name="40% - 강조색4" xfId="39" builtinId="43"/>
    <cellStyle name="40% - 강조색5" xfId="43" builtinId="47"/>
    <cellStyle name="40% - 강조색6" xfId="47" builtinId="51"/>
    <cellStyle name="60% - 강조색1" xfId="28" builtinId="32"/>
    <cellStyle name="60% - 강조색2" xfId="32" builtinId="36"/>
    <cellStyle name="60% - 강조색3" xfId="36" builtinId="40"/>
    <cellStyle name="60% - 강조색4" xfId="40" builtinId="44"/>
    <cellStyle name="60% - 강조색5" xfId="44" builtinId="48"/>
    <cellStyle name="60% - 강조색6" xfId="48" builtinId="52"/>
    <cellStyle name="강조색1" xfId="25" builtinId="29"/>
    <cellStyle name="강조색2" xfId="29" builtinId="33"/>
    <cellStyle name="강조색3" xfId="33" builtinId="37"/>
    <cellStyle name="강조색4" xfId="37" builtinId="41"/>
    <cellStyle name="강조색5" xfId="41" builtinId="45"/>
    <cellStyle name="강조색6" xfId="45" builtinId="49"/>
    <cellStyle name="경고문" xfId="10" builtinId="11"/>
    <cellStyle name="계산" xfId="18" builtinId="22"/>
    <cellStyle name="나쁨" xfId="23" builtinId="27"/>
    <cellStyle name="메모" xfId="9" builtinId="10"/>
    <cellStyle name="백분율" xfId="6" builtinId="5"/>
    <cellStyle name="보통" xfId="24" builtinId="28"/>
    <cellStyle name="설명텍스트" xfId="49" builtinId="53"/>
    <cellStyle name="셀 확인" xfId="19" builtinId="23"/>
    <cellStyle name="쉼표" xfId="4" builtinId="3"/>
    <cellStyle name="쉼표[0]" xfId="7" builtinId="6"/>
    <cellStyle name="연결된 셀" xfId="20" builtinId="24"/>
    <cellStyle name="열어 본 하이퍼링크" xfId="3" builtinId="9" hidden="1"/>
    <cellStyle name="요약" xfId="21" builtinId="25"/>
    <cellStyle name="입력" xfId="16" builtinId="20"/>
    <cellStyle name="제목" xfId="11" builtinId="15"/>
    <cellStyle name="제목1" xfId="12" builtinId="16"/>
    <cellStyle name="제목2" xfId="13" builtinId="17"/>
    <cellStyle name="제목3" xfId="14" builtinId="18"/>
    <cellStyle name="제목4" xfId="15" builtinId="19"/>
    <cellStyle name="좋음" xfId="22" builtinId="26"/>
    <cellStyle name="출력" xfId="17" builtinId="21"/>
    <cellStyle name="통화" xfId="5" builtinId="4"/>
    <cellStyle name="통화[0]" xfId="8" builtinId="7"/>
    <cellStyle name="표준" xfId="0" builtinId="0"/>
    <cellStyle name="하이퍼링크" xfId="2" builtinId="8" hidden="1"/>
    <cellStyle name="표준 4" xfId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worksheet" Target="worksheets/sheet6.xml"></Relationship><Relationship Id="rId7" Type="http://schemas.openxmlformats.org/officeDocument/2006/relationships/externalLink" Target="externalLinks/externalLink1.xml"></Relationship><Relationship Id="rId8" Type="http://schemas.openxmlformats.org/officeDocument/2006/relationships/theme" Target="theme/theme1.xml"></Relationship><Relationship Id="rId9" Type="http://schemas.openxmlformats.org/officeDocument/2006/relationships/styles" Target="styles.xml"></Relationship><Relationship Id="rId10" Type="http://schemas.openxmlformats.org/officeDocument/2006/relationships/sharedStrings" Target="sharedStrings.xml"></Relationship></Relationships>
</file>

<file path=xl/drawings/_rels/drawing1.xml.rels><?xml version="1.0" encoding="UTF-8"?>
<Relationships xmlns="http://schemas.openxmlformats.org/package/2006/relationships"><Relationship Id="rId1" Type="http://schemas.openxmlformats.org/officeDocument/2006/relationships/image" Target="../media/OImage-19291067110.png"></Relationship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</xdr:colOff>
      <xdr:row>0</xdr:row>
      <xdr:rowOff>8255</xdr:rowOff>
    </xdr:from>
    <xdr:to>
      <xdr:col>14</xdr:col>
      <xdr:colOff>508000</xdr:colOff>
      <xdr:row>35</xdr:row>
      <xdr:rowOff>79375</xdr:rowOff>
    </xdr:to>
    <xdr:pic>
      <xdr:nvPicPr>
        <xdr:cNvPr id="1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0100945" cy="7405370"/>
        </a:xfrm>
        <a:prstGeom prst="rect"/>
        <a:noFill/>
      </xdr:spPr>
    </xdr:pic>
    <xdr:clientData/>
  </xdr:twoCellAnchor>
</xdr:wsDr>
</file>

<file path=xl/externalLinks/_rels/externalLink1.xml.rels><?xml version="1.0" encoding="UTF-8"?>
<Relationships xmlns="http://schemas.openxmlformats.org/package/2006/relationships"><Relationship Id="rId1" Type="http://schemas.openxmlformats.org/officeDocument/2006/relationships/externalLinkPath" Target="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_rels/sheet4.xml.rels><?xml version="1.0" encoding="UTF-8"?>
<Relationships xmlns="http://schemas.openxmlformats.org/package/2006/relationships"></Relationships>
</file>

<file path=xl/worksheets/_rels/sheet5.xml.rels><?xml version="1.0" encoding="UTF-8"?>
<Relationships xmlns="http://schemas.openxmlformats.org/package/2006/relationships"></Relationships>
</file>

<file path=xl/worksheets/_rels/sheet6.xml.rels><?xml version="1.0" encoding="UTF-8"?>
<Relationships xmlns="http://schemas.openxmlformats.org/package/2006/relationships"><Relationship Id="rId1" Type="http://schemas.openxmlformats.org/officeDocument/2006/relationships/drawing" Target="../drawings/drawing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21"/>
  <sheetViews>
    <sheetView zoomScale="181" zoomScaleNormal="181" workbookViewId="0">
      <selection activeCell="C10" sqref="C10"/>
    </sheetView>
  </sheetViews>
  <sheetFormatPr defaultColWidth="8.83203125" defaultRowHeight="16.500000"/>
  <cols>
    <col min="1" max="1" width="27.62999916" customWidth="1" outlineLevel="0"/>
    <col min="2" max="2" width="23.12999916" customWidth="1" outlineLevel="0"/>
    <col min="3" max="3" width="20.37999916" customWidth="1" outlineLevel="0"/>
    <col min="4" max="4" width="18.12999916" customWidth="1" outlineLevel="0"/>
    <col min="5" max="5" width="40.63000107" customWidth="1" outlineLevel="0"/>
    <col min="6" max="6" width="14.63000011" customWidth="1" outlineLevel="0"/>
    <col min="7" max="7" width="46.38000107" customWidth="1" outlineLevel="0"/>
  </cols>
  <sheetData>
    <row r="2" spans="1:7">
      <c r="A2" s="0" t="s">
        <v>9</v>
      </c>
    </row>
    <row r="3" spans="1:7">
      <c r="A3" s="4" t="s">
        <v>2</v>
      </c>
      <c r="B3" s="4" t="s">
        <v>3</v>
      </c>
      <c r="C3" s="4" t="s">
        <v>4</v>
      </c>
      <c r="D3" s="4" t="s">
        <v>5</v>
      </c>
      <c r="E3" s="4" t="s">
        <v>18</v>
      </c>
      <c r="F3" s="4" t="s">
        <v>19</v>
      </c>
      <c r="G3" s="2" t="s">
        <v>20</v>
      </c>
    </row>
    <row r="4" spans="1:7">
      <c r="A4" s="44" t="s">
        <v>413</v>
      </c>
      <c r="B4" s="44" t="s">
        <v>83</v>
      </c>
      <c r="C4" s="44"/>
      <c r="D4" s="44"/>
      <c r="E4" s="3" t="s">
        <v>83</v>
      </c>
      <c r="F4" s="44" t="s">
        <v>22</v>
      </c>
      <c r="G4" s="1"/>
    </row>
    <row r="5" spans="1:7">
      <c r="A5" s="44"/>
      <c r="B5" s="44" t="s">
        <v>84</v>
      </c>
      <c r="C5" s="44"/>
      <c r="D5" s="44"/>
      <c r="E5" s="44" t="s">
        <v>414</v>
      </c>
      <c r="F5" s="44" t="s">
        <v>21</v>
      </c>
      <c r="G5" s="1"/>
    </row>
    <row r="6" spans="1:7">
      <c r="A6" s="96" t="s">
        <v>404</v>
      </c>
      <c r="B6" s="45" t="s">
        <v>404</v>
      </c>
      <c r="C6" s="44" t="s">
        <v>411</v>
      </c>
      <c r="D6" s="44"/>
      <c r="E6" s="44" t="s">
        <v>416</v>
      </c>
      <c r="F6" s="44" t="s">
        <v>82</v>
      </c>
      <c r="G6" s="1"/>
    </row>
    <row r="7" spans="1:7">
      <c r="A7" s="52"/>
      <c r="B7" s="45" t="s">
        <v>407</v>
      </c>
      <c r="C7" s="44" t="s">
        <v>412</v>
      </c>
      <c r="D7" s="44"/>
      <c r="E7" s="44" t="s">
        <v>417</v>
      </c>
      <c r="F7" s="44" t="s">
        <v>82</v>
      </c>
      <c r="G7" s="1"/>
    </row>
    <row r="8" spans="1:7">
      <c r="A8" s="97"/>
      <c r="B8" s="45" t="s">
        <v>408</v>
      </c>
      <c r="C8" s="44" t="s">
        <v>409</v>
      </c>
      <c r="D8" s="44"/>
      <c r="E8" s="44" t="s">
        <v>419</v>
      </c>
      <c r="F8" s="44" t="s">
        <v>82</v>
      </c>
      <c r="G8" s="1"/>
    </row>
    <row r="9" spans="1:7">
      <c r="A9" s="96" t="s">
        <v>405</v>
      </c>
      <c r="B9" s="96" t="s">
        <v>294</v>
      </c>
      <c r="C9" s="44" t="s">
        <v>294</v>
      </c>
      <c r="D9" s="44"/>
      <c r="E9" s="45" t="s">
        <v>405</v>
      </c>
      <c r="F9" s="44" t="s">
        <v>21</v>
      </c>
      <c r="G9" s="1"/>
    </row>
    <row r="10" spans="1:7">
      <c r="A10" s="97"/>
      <c r="B10" s="97"/>
      <c r="C10" s="44" t="s">
        <v>420</v>
      </c>
      <c r="D10" s="44"/>
      <c r="E10" s="45" t="s">
        <v>421</v>
      </c>
      <c r="F10" s="44" t="s">
        <v>82</v>
      </c>
      <c r="G10" s="1"/>
    </row>
    <row r="11" spans="1:7">
      <c r="A11" s="45" t="s">
        <v>422</v>
      </c>
      <c r="B11" s="45" t="s">
        <v>427</v>
      </c>
      <c r="C11" s="44"/>
      <c r="D11" s="44"/>
      <c r="E11" s="45" t="s">
        <v>426</v>
      </c>
      <c r="F11" s="44" t="s">
        <v>82</v>
      </c>
      <c r="G11" s="1"/>
    </row>
    <row r="12" spans="1:7">
      <c r="A12" s="45" t="s">
        <v>299</v>
      </c>
      <c r="B12" s="44" t="s">
        <v>425</v>
      </c>
      <c r="C12" s="44"/>
      <c r="D12" s="44"/>
      <c r="E12" s="45" t="s">
        <v>428</v>
      </c>
      <c r="F12" s="44" t="s">
        <v>82</v>
      </c>
      <c r="G12" s="1"/>
    </row>
    <row r="14" spans="1:7">
      <c r="A14" s="98"/>
    </row>
    <row r="17" spans="1:7">
      <c r="A17" s="0" t="s">
        <v>0</v>
      </c>
    </row>
    <row r="18" spans="1:7">
      <c r="A18" s="5" t="s">
        <v>2</v>
      </c>
      <c r="B18" s="5" t="s">
        <v>3</v>
      </c>
      <c r="C18" s="5" t="s">
        <v>4</v>
      </c>
      <c r="D18" s="5" t="s">
        <v>5</v>
      </c>
      <c r="E18" s="5" t="s">
        <v>18</v>
      </c>
      <c r="F18" s="5" t="s">
        <v>19</v>
      </c>
      <c r="G18" s="6" t="s">
        <v>20</v>
      </c>
    </row>
    <row r="19" spans="1:7">
      <c r="A19" s="44" t="s">
        <v>83</v>
      </c>
      <c r="B19" s="44" t="s">
        <v>83</v>
      </c>
      <c r="C19" s="44"/>
      <c r="D19" s="44"/>
      <c r="E19" s="3" t="s">
        <v>365</v>
      </c>
      <c r="F19" s="44" t="s">
        <v>82</v>
      </c>
      <c r="G19" s="1"/>
    </row>
    <row r="20" spans="1:7">
      <c r="A20" s="45" t="s">
        <v>6</v>
      </c>
      <c r="B20" s="44" t="s">
        <v>430</v>
      </c>
      <c r="C20" s="44"/>
      <c r="D20" s="44"/>
      <c r="E20" s="3" t="s">
        <v>615</v>
      </c>
      <c r="F20" s="44" t="s">
        <v>82</v>
      </c>
      <c r="G20" s="1"/>
    </row>
    <row r="21" spans="1:7">
      <c r="A21" s="45"/>
      <c r="B21" s="44" t="s">
        <v>429</v>
      </c>
      <c r="C21" s="44"/>
      <c r="D21" s="44"/>
      <c r="E21" s="3" t="s">
        <v>614</v>
      </c>
      <c r="F21" s="44" t="s">
        <v>82</v>
      </c>
      <c r="G21" s="1"/>
    </row>
  </sheetData>
  <mergeCells count="5">
    <mergeCell ref="A4:A5"/>
    <mergeCell ref="A6:A8"/>
    <mergeCell ref="A9:A10"/>
    <mergeCell ref="B9:B10"/>
    <mergeCell ref="A20:A21"/>
  </mergeCells>
  <phoneticPr fontId="1" type="noConversion"/>
  <pageMargins left="0.70" right="0.70" top="0.75" bottom="0.75" header="0.30" footer="0.3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zoomScale="157" zoomScaleNormal="157" workbookViewId="0">
      <selection activeCell="G24" sqref="G24"/>
    </sheetView>
  </sheetViews>
  <sheetFormatPr defaultColWidth="8.83203125" defaultRowHeight="16.500000"/>
  <cols>
    <col min="1" max="1" width="4.88000011" customWidth="1" outlineLevel="0"/>
    <col min="2" max="2" width="15.63000011" customWidth="1" outlineLevel="0"/>
    <col min="3" max="3" width="18.87999916" customWidth="1" outlineLevel="0"/>
    <col min="4" max="5" width="28.75499916" customWidth="1" outlineLevel="0"/>
    <col min="6" max="6" width="14.63000011" customWidth="1" outlineLevel="0"/>
    <col min="7" max="7" width="24.87999916" customWidth="1" outlineLevel="0"/>
    <col min="8" max="8" width="17.62999916" customWidth="1" outlineLevel="0"/>
    <col min="9" max="10" width="8.63000011" customWidth="1" outlineLevel="0"/>
  </cols>
  <sheetData>
    <row r="1" spans="1:10">
      <c r="A1" s="48" t="s">
        <v>107</v>
      </c>
      <c r="B1" s="48"/>
      <c r="C1" s="48"/>
      <c r="D1" s="48"/>
      <c r="E1" s="48"/>
      <c r="F1" s="48"/>
      <c r="G1" s="48"/>
      <c r="H1" s="48"/>
      <c r="I1" s="48"/>
      <c r="J1" s="48"/>
    </row>
    <row r="2" spans="1:10">
      <c r="A2" s="76" t="s">
        <v>90</v>
      </c>
      <c r="B2" s="73" t="s">
        <v>10</v>
      </c>
      <c r="C2" s="74"/>
      <c r="D2" s="74"/>
      <c r="E2" s="75"/>
      <c r="F2" s="101" t="s">
        <v>11</v>
      </c>
      <c r="G2" s="76" t="s">
        <v>12</v>
      </c>
      <c r="H2" s="76" t="s">
        <v>13</v>
      </c>
      <c r="I2" s="76" t="s">
        <v>14</v>
      </c>
      <c r="J2" s="76" t="s">
        <v>1</v>
      </c>
    </row>
    <row r="3" spans="1:10">
      <c r="A3" s="76"/>
      <c r="B3" s="76" t="s">
        <v>15</v>
      </c>
      <c r="C3" s="76" t="s">
        <v>16</v>
      </c>
      <c r="D3" s="76" t="s">
        <v>17</v>
      </c>
      <c r="E3" s="76" t="s">
        <v>375</v>
      </c>
      <c r="F3" s="76"/>
      <c r="G3" s="76"/>
      <c r="H3" s="76"/>
      <c r="I3" s="76"/>
      <c r="J3" s="76"/>
    </row>
    <row r="4" spans="1:10">
      <c r="A4" s="44">
        <f>ROW()-3</f>
        <v>1</v>
      </c>
      <c r="B4" s="44" t="s">
        <v>443</v>
      </c>
      <c r="C4" s="44"/>
      <c r="D4" s="44"/>
      <c r="E4" s="44"/>
      <c r="F4" s="44" t="s">
        <v>137</v>
      </c>
      <c r="G4" s="44" t="s">
        <v>91</v>
      </c>
      <c r="H4" s="44" t="s">
        <v>92</v>
      </c>
      <c r="I4" s="44"/>
      <c r="J4" s="44" t="s">
        <v>118</v>
      </c>
    </row>
    <row r="5" spans="1:10">
      <c r="A5" s="44">
        <f>ROW()-3</f>
        <v>2</v>
      </c>
      <c r="B5" s="96" t="s">
        <v>590</v>
      </c>
      <c r="C5" s="44" t="s">
        <v>84</v>
      </c>
      <c r="D5" s="44" t="s">
        <v>584</v>
      </c>
      <c r="E5" s="44"/>
      <c r="F5" s="44" t="s">
        <v>138</v>
      </c>
      <c r="G5" s="44" t="s">
        <v>581</v>
      </c>
      <c r="H5" s="44" t="s">
        <v>392</v>
      </c>
      <c r="I5" s="44"/>
      <c r="J5" s="44" t="s">
        <v>118</v>
      </c>
    </row>
    <row r="6" spans="1:10">
      <c r="A6" s="44">
        <f>ROW()-3</f>
        <v>3</v>
      </c>
      <c r="B6" s="52"/>
      <c r="C6" s="44"/>
      <c r="D6" s="44" t="s">
        <v>586</v>
      </c>
      <c r="E6" s="44"/>
      <c r="F6" s="44" t="s">
        <v>139</v>
      </c>
      <c r="G6" s="44" t="s">
        <v>583</v>
      </c>
      <c r="H6" s="44" t="s">
        <v>92</v>
      </c>
      <c r="I6" s="44"/>
      <c r="J6" s="44" t="s">
        <v>107</v>
      </c>
    </row>
    <row r="7" spans="1:10">
      <c r="A7" s="44">
        <f>ROW()-3</f>
        <v>4</v>
      </c>
      <c r="B7" s="52"/>
      <c r="C7" s="47" t="s">
        <v>83</v>
      </c>
      <c r="D7" s="44" t="s">
        <v>585</v>
      </c>
      <c r="E7" s="44"/>
      <c r="F7" s="44" t="s">
        <v>140</v>
      </c>
      <c r="G7" s="44" t="s">
        <v>585</v>
      </c>
      <c r="H7" s="44" t="s">
        <v>280</v>
      </c>
      <c r="I7" s="44"/>
      <c r="J7" s="44" t="s">
        <v>118</v>
      </c>
    </row>
    <row r="8" spans="1:10">
      <c r="A8" s="44">
        <f>ROW()-3</f>
        <v>5</v>
      </c>
      <c r="B8" s="52"/>
      <c r="C8" s="72"/>
      <c r="D8" s="44" t="s">
        <v>586</v>
      </c>
      <c r="E8" s="44"/>
      <c r="F8" s="44" t="s">
        <v>141</v>
      </c>
      <c r="G8" s="44" t="s">
        <v>587</v>
      </c>
      <c r="H8" s="44" t="s">
        <v>92</v>
      </c>
      <c r="I8" s="44"/>
      <c r="J8" s="44" t="s">
        <v>118</v>
      </c>
    </row>
    <row r="9" spans="1:10">
      <c r="A9" s="44">
        <f>ROW()-3</f>
        <v>6</v>
      </c>
      <c r="B9" s="52"/>
      <c r="C9" s="44" t="s">
        <v>95</v>
      </c>
      <c r="D9" s="44"/>
      <c r="E9" s="44"/>
      <c r="F9" s="44" t="s">
        <v>142</v>
      </c>
      <c r="G9" s="44" t="s">
        <v>95</v>
      </c>
      <c r="H9" s="44" t="s">
        <v>92</v>
      </c>
      <c r="I9" s="44"/>
      <c r="J9" s="44" t="s">
        <v>118</v>
      </c>
    </row>
    <row r="10" spans="1:10">
      <c r="A10" s="44">
        <f>ROW()-3</f>
        <v>7</v>
      </c>
      <c r="B10" s="52"/>
      <c r="C10" s="44" t="s">
        <v>96</v>
      </c>
      <c r="D10" s="44"/>
      <c r="E10" s="44"/>
      <c r="F10" s="44" t="s">
        <v>143</v>
      </c>
      <c r="G10" s="44" t="s">
        <v>96</v>
      </c>
      <c r="H10" s="44" t="s">
        <v>280</v>
      </c>
      <c r="I10" s="44"/>
      <c r="J10" s="44" t="s">
        <v>118</v>
      </c>
    </row>
    <row r="11" spans="1:10">
      <c r="A11" s="44">
        <f>ROW()-3</f>
        <v>8</v>
      </c>
      <c r="B11" s="52"/>
      <c r="C11" s="47" t="s">
        <v>97</v>
      </c>
      <c r="D11" s="44" t="s">
        <v>129</v>
      </c>
      <c r="E11" s="44"/>
      <c r="F11" s="44" t="s">
        <v>144</v>
      </c>
      <c r="G11" s="44" t="s">
        <v>129</v>
      </c>
      <c r="H11" s="44" t="s">
        <v>280</v>
      </c>
      <c r="I11" s="44"/>
      <c r="J11" s="44" t="s">
        <v>107</v>
      </c>
    </row>
    <row r="12" spans="1:10">
      <c r="A12" s="44">
        <f>ROW()-3</f>
        <v>9</v>
      </c>
      <c r="B12" s="52"/>
      <c r="C12" s="69"/>
      <c r="D12" s="44" t="s">
        <v>594</v>
      </c>
      <c r="E12" s="44"/>
      <c r="F12" s="44" t="s">
        <v>145</v>
      </c>
      <c r="G12" s="44" t="s">
        <v>595</v>
      </c>
      <c r="H12" s="44" t="s">
        <v>92</v>
      </c>
      <c r="I12" s="44"/>
      <c r="J12" s="44" t="s">
        <v>118</v>
      </c>
    </row>
    <row r="13" spans="1:10">
      <c r="A13" s="44">
        <f>ROW()-3</f>
        <v>10</v>
      </c>
      <c r="B13" s="97"/>
      <c r="C13" s="72"/>
      <c r="D13" s="44" t="s">
        <v>593</v>
      </c>
      <c r="E13" s="44"/>
      <c r="F13" s="44" t="s">
        <v>146</v>
      </c>
      <c r="G13" s="44" t="s">
        <v>593</v>
      </c>
      <c r="H13" s="44" t="s">
        <v>173</v>
      </c>
      <c r="I13" s="44"/>
      <c r="J13" s="44" t="s">
        <v>118</v>
      </c>
    </row>
    <row r="14" spans="1:10">
      <c r="A14" s="44">
        <f>ROW()-3</f>
        <v>11</v>
      </c>
      <c r="B14" s="96" t="s">
        <v>404</v>
      </c>
      <c r="C14" s="96" t="s">
        <v>404</v>
      </c>
      <c r="D14" s="45" t="s">
        <v>416</v>
      </c>
      <c r="E14" s="45"/>
      <c r="F14" s="44" t="s">
        <v>147</v>
      </c>
      <c r="G14" s="44" t="s">
        <v>451</v>
      </c>
      <c r="H14" s="44" t="s">
        <v>280</v>
      </c>
      <c r="I14" s="44"/>
      <c r="J14" s="44" t="s">
        <v>118</v>
      </c>
    </row>
    <row r="15" spans="1:10">
      <c r="A15" s="44">
        <f>ROW()-3</f>
        <v>12</v>
      </c>
      <c r="B15" s="52"/>
      <c r="C15" s="52"/>
      <c r="D15" s="44" t="s">
        <v>588</v>
      </c>
      <c r="E15" s="44"/>
      <c r="F15" s="44" t="s">
        <v>148</v>
      </c>
      <c r="G15" s="44" t="s">
        <v>589</v>
      </c>
      <c r="H15" s="44" t="s">
        <v>173</v>
      </c>
      <c r="I15" s="44"/>
      <c r="J15" s="44" t="s">
        <v>118</v>
      </c>
    </row>
    <row r="16" spans="1:10">
      <c r="A16" s="44">
        <f>ROW()-3</f>
        <v>13</v>
      </c>
      <c r="B16" s="52"/>
      <c r="C16" s="97"/>
      <c r="D16" s="44" t="s">
        <v>87</v>
      </c>
      <c r="E16" s="44"/>
      <c r="F16" s="44" t="s">
        <v>149</v>
      </c>
      <c r="G16" s="44" t="s">
        <v>87</v>
      </c>
      <c r="H16" s="44" t="s">
        <v>102</v>
      </c>
      <c r="I16" s="44"/>
      <c r="J16" s="44" t="s">
        <v>118</v>
      </c>
    </row>
    <row r="17" spans="1:10">
      <c r="A17" s="44">
        <f>ROW()-3</f>
        <v>14</v>
      </c>
      <c r="B17" s="52"/>
      <c r="C17" s="45" t="s">
        <v>407</v>
      </c>
      <c r="D17" s="44" t="s">
        <v>435</v>
      </c>
      <c r="E17" s="44"/>
      <c r="F17" s="44" t="s">
        <v>150</v>
      </c>
      <c r="G17" s="44" t="s">
        <v>454</v>
      </c>
      <c r="H17" s="44" t="s">
        <v>280</v>
      </c>
      <c r="I17" s="44"/>
      <c r="J17" s="44" t="s">
        <v>118</v>
      </c>
    </row>
    <row r="18" spans="1:10">
      <c r="A18" s="44">
        <f>ROW()-3</f>
        <v>15</v>
      </c>
      <c r="B18" s="52"/>
      <c r="C18" s="96" t="s">
        <v>436</v>
      </c>
      <c r="D18" s="44" t="s">
        <v>437</v>
      </c>
      <c r="E18" s="44"/>
      <c r="F18" s="44" t="s">
        <v>151</v>
      </c>
      <c r="G18" s="44" t="s">
        <v>453</v>
      </c>
      <c r="H18" s="44" t="s">
        <v>280</v>
      </c>
      <c r="I18" s="44"/>
      <c r="J18" s="44" t="s">
        <v>118</v>
      </c>
    </row>
    <row r="19" spans="1:10">
      <c r="A19" s="44">
        <f>ROW()-3</f>
        <v>16</v>
      </c>
      <c r="B19" s="52"/>
      <c r="C19" s="52"/>
      <c r="D19" s="44" t="s">
        <v>597</v>
      </c>
      <c r="E19" s="44"/>
      <c r="F19" s="44" t="s">
        <v>152</v>
      </c>
      <c r="G19" s="44" t="s">
        <v>597</v>
      </c>
      <c r="H19" s="44" t="s">
        <v>280</v>
      </c>
      <c r="I19" s="44"/>
      <c r="J19" s="44" t="s">
        <v>118</v>
      </c>
    </row>
    <row r="20" spans="1:10">
      <c r="A20" s="44">
        <f>ROW()-3</f>
        <v>17</v>
      </c>
      <c r="B20" s="52"/>
      <c r="C20" s="52"/>
      <c r="D20" s="44" t="s">
        <v>438</v>
      </c>
      <c r="E20" s="44"/>
      <c r="F20" s="44" t="s">
        <v>263</v>
      </c>
      <c r="G20" s="44" t="s">
        <v>455</v>
      </c>
      <c r="H20" s="44" t="s">
        <v>458</v>
      </c>
      <c r="I20" s="44"/>
      <c r="J20" s="44" t="s">
        <v>118</v>
      </c>
    </row>
    <row r="21" spans="1:10">
      <c r="A21" s="44">
        <f>ROW()-3</f>
        <v>18</v>
      </c>
      <c r="B21" s="97"/>
      <c r="C21" s="97"/>
      <c r="D21" s="44" t="s">
        <v>616</v>
      </c>
      <c r="E21" s="44"/>
      <c r="F21" s="44" t="s">
        <v>374</v>
      </c>
      <c r="G21" s="44" t="s">
        <v>617</v>
      </c>
      <c r="H21" s="44" t="s">
        <v>102</v>
      </c>
      <c r="I21" s="44"/>
      <c r="J21" s="44" t="s">
        <v>118</v>
      </c>
    </row>
    <row r="22" spans="1:10">
      <c r="A22" s="44">
        <f>ROW()-3</f>
        <v>19</v>
      </c>
      <c r="B22" s="96" t="s">
        <v>294</v>
      </c>
      <c r="C22" s="96" t="s">
        <v>373</v>
      </c>
      <c r="D22" s="45" t="s">
        <v>439</v>
      </c>
      <c r="E22" s="45"/>
      <c r="F22" s="44" t="s">
        <v>277</v>
      </c>
      <c r="G22" s="44" t="s">
        <v>456</v>
      </c>
      <c r="H22" s="44" t="s">
        <v>280</v>
      </c>
      <c r="I22" s="44"/>
      <c r="J22" s="44" t="s">
        <v>118</v>
      </c>
    </row>
    <row r="23" spans="1:10">
      <c r="A23" s="44">
        <f>ROW()-3</f>
        <v>20</v>
      </c>
      <c r="B23" s="52"/>
      <c r="C23" s="52"/>
      <c r="D23" s="96" t="s">
        <v>379</v>
      </c>
      <c r="E23" s="45" t="s">
        <v>603</v>
      </c>
      <c r="F23" s="44" t="s">
        <v>382</v>
      </c>
      <c r="G23" s="44" t="s">
        <v>379</v>
      </c>
      <c r="H23" s="44" t="s">
        <v>280</v>
      </c>
      <c r="I23" s="44"/>
      <c r="J23" s="44" t="s">
        <v>118</v>
      </c>
    </row>
    <row r="24" spans="1:10">
      <c r="A24" s="44">
        <f>ROW()-3</f>
        <v>21</v>
      </c>
      <c r="B24" s="52"/>
      <c r="C24" s="52"/>
      <c r="D24" s="52"/>
      <c r="E24" s="45" t="s">
        <v>601</v>
      </c>
      <c r="F24" s="44" t="s">
        <v>447</v>
      </c>
      <c r="G24" s="44" t="s">
        <v>604</v>
      </c>
      <c r="H24" s="44" t="s">
        <v>392</v>
      </c>
      <c r="I24" s="44"/>
      <c r="J24" s="44" t="s">
        <v>118</v>
      </c>
    </row>
    <row r="25" spans="1:10">
      <c r="A25" s="44">
        <f>ROW()-3</f>
        <v>22</v>
      </c>
      <c r="B25" s="97"/>
      <c r="C25" s="97"/>
      <c r="D25" s="97"/>
      <c r="E25" s="45" t="s">
        <v>602</v>
      </c>
      <c r="F25" s="44" t="s">
        <v>448</v>
      </c>
      <c r="G25" s="44" t="s">
        <v>596</v>
      </c>
      <c r="H25" s="44" t="s">
        <v>280</v>
      </c>
      <c r="I25" s="44"/>
      <c r="J25" s="44" t="s">
        <v>107</v>
      </c>
    </row>
    <row r="26" spans="1:10">
      <c r="A26" s="44">
        <f>ROW()-3</f>
        <v>23</v>
      </c>
      <c r="B26" s="45" t="s">
        <v>300</v>
      </c>
      <c r="C26" s="45" t="s">
        <v>426</v>
      </c>
      <c r="D26" s="45"/>
      <c r="E26" s="45"/>
      <c r="F26" s="44" t="s">
        <v>598</v>
      </c>
      <c r="G26" s="44" t="s">
        <v>426</v>
      </c>
      <c r="H26" s="44" t="s">
        <v>280</v>
      </c>
      <c r="I26" s="44"/>
      <c r="J26" s="44" t="s">
        <v>107</v>
      </c>
    </row>
    <row r="27" spans="1:10">
      <c r="A27" s="44">
        <f>ROW()-3</f>
        <v>24</v>
      </c>
      <c r="B27" s="45"/>
      <c r="C27" s="45" t="s">
        <v>445</v>
      </c>
      <c r="D27" s="45"/>
      <c r="E27" s="45"/>
      <c r="F27" s="44" t="s">
        <v>599</v>
      </c>
      <c r="G27" s="44" t="s">
        <v>445</v>
      </c>
      <c r="H27" s="44" t="s">
        <v>280</v>
      </c>
      <c r="I27" s="44"/>
      <c r="J27" s="44" t="s">
        <v>118</v>
      </c>
    </row>
    <row r="28" spans="1:10">
      <c r="A28" s="44">
        <f>ROW()-3</f>
        <v>25</v>
      </c>
      <c r="B28" s="45" t="s">
        <v>299</v>
      </c>
      <c r="C28" s="45" t="s">
        <v>428</v>
      </c>
      <c r="D28" s="45"/>
      <c r="E28" s="45"/>
      <c r="F28" s="44" t="s">
        <v>605</v>
      </c>
      <c r="G28" s="44" t="s">
        <v>428</v>
      </c>
      <c r="H28" s="44" t="s">
        <v>280</v>
      </c>
      <c r="I28" s="44"/>
      <c r="J28" s="44" t="s">
        <v>118</v>
      </c>
    </row>
    <row r="32" spans="1:10">
      <c r="A32" s="48"/>
    </row>
    <row r="33" spans="1:10">
      <c r="A33" s="0" t="s">
        <v>72</v>
      </c>
    </row>
    <row r="34" spans="1:10">
      <c r="A34" s="76" t="s">
        <v>90</v>
      </c>
      <c r="B34" s="73" t="s">
        <v>10</v>
      </c>
      <c r="C34" s="74"/>
      <c r="D34" s="74"/>
      <c r="E34" s="75"/>
      <c r="F34" s="101" t="s">
        <v>11</v>
      </c>
      <c r="G34" s="76" t="s">
        <v>12</v>
      </c>
      <c r="H34" s="76" t="s">
        <v>13</v>
      </c>
      <c r="I34" s="76" t="s">
        <v>14</v>
      </c>
      <c r="J34" s="76" t="s">
        <v>2</v>
      </c>
    </row>
    <row r="35" spans="1:10">
      <c r="A35" s="76"/>
      <c r="B35" s="76" t="s">
        <v>15</v>
      </c>
      <c r="C35" s="76" t="s">
        <v>16</v>
      </c>
      <c r="D35" s="76" t="s">
        <v>17</v>
      </c>
      <c r="E35" s="76"/>
      <c r="F35" s="76"/>
      <c r="G35" s="76"/>
      <c r="H35" s="76"/>
      <c r="I35" s="76"/>
      <c r="J35" s="76"/>
    </row>
    <row r="36" spans="1:10">
      <c r="A36" s="44">
        <f>ROW()-37</f>
        <v>-1</v>
      </c>
      <c r="B36" s="44" t="s">
        <v>91</v>
      </c>
      <c r="C36" s="44"/>
      <c r="D36" s="44"/>
      <c r="E36" s="44"/>
      <c r="F36" s="44" t="s">
        <v>153</v>
      </c>
      <c r="G36" s="44" t="s">
        <v>91</v>
      </c>
      <c r="H36" s="44" t="s">
        <v>92</v>
      </c>
      <c r="I36" s="44"/>
      <c r="J36" s="44" t="s">
        <v>72</v>
      </c>
    </row>
    <row r="37" spans="1:10">
      <c r="A37" s="44">
        <f>ROW()-37</f>
        <v>0</v>
      </c>
      <c r="B37" s="96" t="s">
        <v>74</v>
      </c>
      <c r="C37" s="44" t="s">
        <v>607</v>
      </c>
      <c r="D37" s="44"/>
      <c r="E37" s="44"/>
      <c r="F37" s="44" t="s">
        <v>154</v>
      </c>
      <c r="G37" s="44" t="s">
        <v>611</v>
      </c>
      <c r="H37" s="44" t="s">
        <v>280</v>
      </c>
      <c r="I37" s="44"/>
      <c r="J37" s="44" t="s">
        <v>72</v>
      </c>
    </row>
    <row r="38" spans="1:10">
      <c r="A38" s="44">
        <f>ROW()-37</f>
        <v>1</v>
      </c>
      <c r="B38" s="52"/>
      <c r="C38" s="44" t="s">
        <v>101</v>
      </c>
      <c r="D38" s="44"/>
      <c r="E38" s="44"/>
      <c r="F38" s="44" t="s">
        <v>155</v>
      </c>
      <c r="G38" s="44" t="s">
        <v>101</v>
      </c>
      <c r="H38" s="44" t="s">
        <v>280</v>
      </c>
      <c r="I38" s="44"/>
      <c r="J38" s="44" t="s">
        <v>72</v>
      </c>
    </row>
    <row r="39" spans="1:10">
      <c r="A39" s="44">
        <f>ROW()-37</f>
        <v>2</v>
      </c>
      <c r="B39" s="52"/>
      <c r="C39" s="44" t="s">
        <v>86</v>
      </c>
      <c r="D39" s="44"/>
      <c r="E39" s="44"/>
      <c r="F39" s="44" t="s">
        <v>156</v>
      </c>
      <c r="G39" s="44" t="s">
        <v>86</v>
      </c>
      <c r="H39" s="44" t="s">
        <v>280</v>
      </c>
      <c r="I39" s="44"/>
      <c r="J39" s="44" t="s">
        <v>72</v>
      </c>
    </row>
    <row r="40" spans="1:10">
      <c r="A40" s="44">
        <f>ROW()-37</f>
        <v>3</v>
      </c>
      <c r="B40" s="97"/>
      <c r="C40" s="44" t="s">
        <v>612</v>
      </c>
      <c r="D40" s="44"/>
      <c r="E40" s="44"/>
      <c r="F40" s="44" t="s">
        <v>157</v>
      </c>
      <c r="G40" s="44" t="s">
        <v>612</v>
      </c>
      <c r="H40" s="44" t="s">
        <v>173</v>
      </c>
      <c r="I40" s="44"/>
      <c r="J40" s="44" t="s">
        <v>72</v>
      </c>
    </row>
    <row r="41" spans="1:10">
      <c r="A41" s="44">
        <f>ROW()-37</f>
        <v>4</v>
      </c>
      <c r="B41" s="96" t="s">
        <v>429</v>
      </c>
      <c r="C41" s="44" t="s">
        <v>409</v>
      </c>
      <c r="D41" s="44"/>
      <c r="E41" s="44"/>
      <c r="F41" s="44" t="s">
        <v>158</v>
      </c>
      <c r="G41" s="44" t="s">
        <v>610</v>
      </c>
      <c r="H41" s="44" t="s">
        <v>280</v>
      </c>
      <c r="I41" s="44"/>
      <c r="J41" s="44" t="s">
        <v>72</v>
      </c>
    </row>
    <row r="42" spans="1:10">
      <c r="A42" s="44">
        <f>ROW()-37</f>
        <v>5</v>
      </c>
      <c r="B42" s="52"/>
      <c r="C42" s="44" t="s">
        <v>613</v>
      </c>
      <c r="D42" s="44"/>
      <c r="E42" s="44"/>
      <c r="F42" s="44" t="s">
        <v>159</v>
      </c>
      <c r="G42" s="44" t="s">
        <v>613</v>
      </c>
      <c r="H42" s="44" t="s">
        <v>280</v>
      </c>
      <c r="I42" s="44"/>
      <c r="J42" s="44" t="s">
        <v>72</v>
      </c>
    </row>
    <row r="43" spans="1:10">
      <c r="A43" s="44">
        <f>ROW()-37</f>
        <v>6</v>
      </c>
      <c r="B43" s="52"/>
      <c r="C43" s="45" t="s">
        <v>459</v>
      </c>
      <c r="D43" s="44"/>
      <c r="E43" s="44"/>
      <c r="F43" s="44" t="s">
        <v>160</v>
      </c>
      <c r="G43" s="44" t="s">
        <v>459</v>
      </c>
      <c r="H43" s="44" t="s">
        <v>458</v>
      </c>
      <c r="I43" s="44"/>
      <c r="J43" s="44" t="s">
        <v>72</v>
      </c>
    </row>
    <row r="44" spans="1:10">
      <c r="A44" s="44">
        <f>ROW()-37</f>
        <v>7</v>
      </c>
      <c r="B44" s="97"/>
      <c r="C44" s="45" t="s">
        <v>461</v>
      </c>
      <c r="D44" s="45"/>
      <c r="E44" s="45"/>
      <c r="F44" s="44" t="s">
        <v>161</v>
      </c>
      <c r="G44" s="44" t="s">
        <v>461</v>
      </c>
      <c r="H44" s="44" t="s">
        <v>102</v>
      </c>
      <c r="I44" s="44"/>
      <c r="J44" s="44" t="s">
        <v>72</v>
      </c>
    </row>
  </sheetData>
  <mergeCells count="15">
    <mergeCell ref="B2:E2"/>
    <mergeCell ref="B5:B13"/>
    <mergeCell ref="C5:C6"/>
    <mergeCell ref="C7:C8"/>
    <mergeCell ref="C11:C13"/>
    <mergeCell ref="B14:B21"/>
    <mergeCell ref="C14:C16"/>
    <mergeCell ref="C18:C21"/>
    <mergeCell ref="B22:B25"/>
    <mergeCell ref="C22:C25"/>
    <mergeCell ref="D23:D25"/>
    <mergeCell ref="B26:B27"/>
    <mergeCell ref="B34:E34"/>
    <mergeCell ref="B37:B40"/>
    <mergeCell ref="B41:B44"/>
  </mergeCells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4"/>
  <sheetViews>
    <sheetView topLeftCell="A4" zoomScale="144" zoomScaleNormal="144" workbookViewId="0">
      <selection activeCell="A24" sqref="A24"/>
    </sheetView>
  </sheetViews>
  <sheetFormatPr defaultColWidth="8.83203125" defaultRowHeight="16.500000"/>
  <cols>
    <col min="1" max="1" width="27.62999916" customWidth="1" outlineLevel="0"/>
    <col min="3" max="3" style="23" width="17.62999916" customWidth="1" outlineLevel="0"/>
    <col min="4" max="4" style="7" width="11.50500011" customWidth="1" outlineLevel="0"/>
    <col min="5" max="5" style="7" width="10.88000011" customWidth="1" outlineLevel="0"/>
    <col min="6" max="6" style="19" width="9.00500011" customWidth="1" outlineLevel="0"/>
    <col min="7" max="7" style="20" width="9.00500011" customWidth="1" outlineLevel="0"/>
    <col min="11" max="11" width="13.13000011" customWidth="1" outlineLevel="0"/>
    <col min="12" max="12" width="17.37999916" customWidth="1" outlineLevel="0"/>
    <col min="13" max="13" width="26.62999916" customWidth="1" outlineLevel="0"/>
    <col min="14" max="14" width="15.88000011" customWidth="1" outlineLevel="0"/>
    <col min="15" max="15" width="22.50499916" customWidth="1" outlineLevel="0"/>
    <col min="18" max="18" width="19.50499916" customWidth="1" outlineLevel="0"/>
  </cols>
  <sheetData>
    <row r="1" spans="1:7" ht="17.250000">
      <c r="A1" s="24" t="s">
        <v>25</v>
      </c>
      <c r="B1" s="24" t="s">
        <v>14</v>
      </c>
      <c r="C1" s="24" t="s">
        <v>26</v>
      </c>
      <c r="D1" s="25" t="s">
        <v>27</v>
      </c>
      <c r="E1" s="25" t="s">
        <v>28</v>
      </c>
      <c r="F1" s="41" t="s">
        <v>29</v>
      </c>
      <c r="G1" s="42" t="s">
        <v>30</v>
      </c>
    </row>
    <row r="2" spans="1:7">
      <c r="A2" s="12" t="s">
        <v>31</v>
      </c>
      <c r="B2" s="26" t="s">
        <v>119</v>
      </c>
      <c r="C2" s="22"/>
      <c r="D2" s="14">
        <v>43922</v>
      </c>
      <c r="E2" s="14">
        <v>43926</v>
      </c>
      <c r="F2" s="17">
        <f>_xlfn.NETWORKDAYS(D2,E2)</f>
        <v>3</v>
      </c>
      <c r="G2" s="27">
        <f>AVERAGE(G3:G5,G7:G10)</f>
        <v>0.885714285714286</v>
      </c>
    </row>
    <row r="3" spans="1:7">
      <c r="A3" s="107" t="s">
        <v>491</v>
      </c>
      <c r="B3" s="8" t="s">
        <v>119</v>
      </c>
      <c r="C3" s="21"/>
      <c r="D3" s="9">
        <v>43922</v>
      </c>
      <c r="E3" s="9">
        <v>43924</v>
      </c>
      <c r="F3" s="15">
        <f>_xlfn.NETWORKDAYS(D3,E3)</f>
        <v>3</v>
      </c>
      <c r="G3" s="10">
        <v>1</v>
      </c>
    </row>
    <row r="4" spans="1:7">
      <c r="A4" s="108" t="s">
        <v>492</v>
      </c>
      <c r="B4" s="8" t="s">
        <v>119</v>
      </c>
      <c r="C4" s="21"/>
      <c r="D4" s="9">
        <v>43924</v>
      </c>
      <c r="E4" s="9">
        <v>43926</v>
      </c>
      <c r="F4" s="15">
        <f>_xlfn.NETWORKDAYS(D4,E4)</f>
        <v>1</v>
      </c>
      <c r="G4" s="10">
        <v>1</v>
      </c>
    </row>
    <row r="5" spans="1:7">
      <c r="A5" s="11" t="s">
        <v>34</v>
      </c>
      <c r="B5" s="8" t="s">
        <v>119</v>
      </c>
      <c r="C5" s="21"/>
      <c r="D5" s="9">
        <v>43936</v>
      </c>
      <c r="E5" s="9">
        <v>43948</v>
      </c>
      <c r="F5" s="15">
        <f>_xlfn.NETWORKDAYS(D5,E5)</f>
        <v>9</v>
      </c>
      <c r="G5" s="16">
        <f>AVERAGE(G6:G6)</f>
        <v>1</v>
      </c>
    </row>
    <row r="6" spans="1:7">
      <c r="A6" s="8" t="s">
        <v>487</v>
      </c>
      <c r="B6" s="8" t="s">
        <v>119</v>
      </c>
      <c r="C6" s="21"/>
      <c r="D6" s="9">
        <v>43936</v>
      </c>
      <c r="E6" s="9">
        <v>43941</v>
      </c>
      <c r="F6" s="15">
        <f>_xlfn.NETWORKDAYS(D6,E6)</f>
        <v>4</v>
      </c>
      <c r="G6" s="10">
        <v>1</v>
      </c>
    </row>
    <row r="7" spans="1:7">
      <c r="A7" s="8" t="s">
        <v>463</v>
      </c>
      <c r="B7" s="8" t="s">
        <v>119</v>
      </c>
      <c r="C7" s="21"/>
      <c r="D7" s="9">
        <v>43941</v>
      </c>
      <c r="E7" s="9">
        <v>43946</v>
      </c>
      <c r="F7" s="15">
        <f>_xlfn.NETWORKDAYS(D7,E7)</f>
        <v>5</v>
      </c>
      <c r="G7" s="10">
        <v>0.8</v>
      </c>
    </row>
    <row r="8" spans="1:7">
      <c r="A8" s="8" t="s">
        <v>488</v>
      </c>
      <c r="B8" s="8" t="s">
        <v>119</v>
      </c>
      <c r="C8" s="21"/>
      <c r="D8" s="9">
        <v>43946</v>
      </c>
      <c r="E8" s="9">
        <v>43948</v>
      </c>
      <c r="F8" s="15">
        <f>_xlfn.NETWORKDAYS(D8,E8)</f>
        <v>1</v>
      </c>
      <c r="G8" s="10">
        <v>0.8</v>
      </c>
    </row>
    <row r="9" spans="1:7">
      <c r="A9" s="107" t="s">
        <v>490</v>
      </c>
      <c r="B9" s="8" t="s">
        <v>119</v>
      </c>
      <c r="C9" s="21"/>
      <c r="D9" s="9">
        <v>43936</v>
      </c>
      <c r="E9" s="9">
        <v>43950</v>
      </c>
      <c r="F9" s="15">
        <f>_xlfn.NETWORKDAYS(D9,E9)</f>
        <v>11</v>
      </c>
      <c r="G9" s="10">
        <v>0.6</v>
      </c>
    </row>
    <row r="10" spans="1:7">
      <c r="A10" s="11" t="s">
        <v>36</v>
      </c>
      <c r="B10" s="8" t="s">
        <v>119</v>
      </c>
      <c r="C10" s="21"/>
      <c r="D10" s="9">
        <v>43922</v>
      </c>
      <c r="E10" s="9">
        <v>43941</v>
      </c>
      <c r="F10" s="15">
        <f>_xlfn.NETWORKDAYS(D10,E10)</f>
        <v>14</v>
      </c>
      <c r="G10" s="16">
        <f>AVERAGE(G11:G12)</f>
        <v>1</v>
      </c>
    </row>
    <row r="11" spans="1:7">
      <c r="A11" s="8" t="s">
        <v>466</v>
      </c>
      <c r="B11" s="8" t="s">
        <v>119</v>
      </c>
      <c r="C11" s="21"/>
      <c r="D11" s="9">
        <v>43922</v>
      </c>
      <c r="E11" s="9">
        <v>43941</v>
      </c>
      <c r="F11" s="15">
        <f>_xlfn.NETWORKDAYS(D11,E11)</f>
        <v>14</v>
      </c>
      <c r="G11" s="10">
        <v>1</v>
      </c>
    </row>
    <row r="12" spans="1:7">
      <c r="A12" s="8" t="s">
        <v>465</v>
      </c>
      <c r="B12" s="8" t="s">
        <v>119</v>
      </c>
      <c r="C12" s="21"/>
      <c r="D12" s="9">
        <v>43922</v>
      </c>
      <c r="E12" s="9">
        <v>43941</v>
      </c>
      <c r="F12" s="15">
        <f>_xlfn.NETWORKDAYS(D12,E12)</f>
        <v>14</v>
      </c>
      <c r="G12" s="10">
        <v>1</v>
      </c>
    </row>
    <row r="13" spans="1:7">
      <c r="A13" s="12" t="s">
        <v>42</v>
      </c>
      <c r="B13" s="13" t="s">
        <v>119</v>
      </c>
      <c r="C13" s="22" t="str">
        <f>IF(G13=0,"Not Started",IF(G13&lt;1,"Progress",IF(G13=1,"")))</f>
        <v>Not Started</v>
      </c>
      <c r="D13" s="14">
        <v>43948</v>
      </c>
      <c r="E13" s="14"/>
      <c r="F13" s="17">
        <f>_xlfn.NETWORKDAYS(D13,E13)</f>
        <v>-31391</v>
      </c>
      <c r="G13" s="18">
        <f>AVERAGE(G14,G22,G44)</f>
        <v>0</v>
      </c>
    </row>
    <row r="14" spans="1:7">
      <c r="A14" s="28" t="s">
        <v>282</v>
      </c>
      <c r="B14" s="29" t="s">
        <v>119</v>
      </c>
      <c r="C14" s="30" t="str">
        <f>IF(G14=0,"Not Started",IF(G14&lt;1,"Progress",IF(G14=1,"")))</f>
        <v>Not Started</v>
      </c>
      <c r="D14" s="31"/>
      <c r="E14" s="31"/>
      <c r="F14" s="32"/>
      <c r="G14" s="33">
        <f>AVERAGE(G15:G20)</f>
        <v>0</v>
      </c>
    </row>
    <row r="15" spans="1:7">
      <c r="A15" s="8" t="s">
        <v>44</v>
      </c>
      <c r="B15" s="8" t="s">
        <v>119</v>
      </c>
      <c r="C15" s="34" t="str">
        <f>IF(G15=0,"Not Started",IF(G15&lt;1,"Progress",IF(G15=1,"")))</f>
        <v>Not Started</v>
      </c>
      <c r="D15" s="9"/>
      <c r="E15" s="9"/>
      <c r="F15" s="15"/>
      <c r="G15" s="10">
        <v>0</v>
      </c>
    </row>
    <row r="16" spans="1:7">
      <c r="A16" s="8" t="s">
        <v>46</v>
      </c>
      <c r="B16" s="8" t="s">
        <v>119</v>
      </c>
      <c r="C16" s="34" t="str">
        <f>IF(G16=0,"Not Started",IF(G16&lt;1,"Progress",IF(G16=1,"")))</f>
        <v>Not Started</v>
      </c>
      <c r="D16" s="9"/>
      <c r="E16" s="9"/>
      <c r="F16" s="1"/>
      <c r="G16" s="10">
        <v>0</v>
      </c>
    </row>
    <row r="17" spans="1:7">
      <c r="A17" s="8" t="s">
        <v>43</v>
      </c>
      <c r="B17" s="8" t="s">
        <v>119</v>
      </c>
      <c r="C17" s="34" t="str">
        <f>IF(G17=0,"Not Started",IF(G17&lt;1,"Progress",IF(G17=1,"")))</f>
        <v>Not Started</v>
      </c>
      <c r="D17" s="9"/>
      <c r="E17" s="9"/>
      <c r="F17" s="1"/>
      <c r="G17" s="10">
        <v>0</v>
      </c>
    </row>
    <row r="18" spans="1:7">
      <c r="A18" s="8" t="s">
        <v>45</v>
      </c>
      <c r="B18" s="8" t="s">
        <v>119</v>
      </c>
      <c r="C18" s="34" t="str">
        <f>IF(G18=0,"Not Started",IF(G18&lt;1,"Progress",IF(G18=1,"")))</f>
        <v>Not Started</v>
      </c>
      <c r="D18" s="9"/>
      <c r="E18" s="9"/>
      <c r="F18" s="1"/>
      <c r="G18" s="10">
        <v>0</v>
      </c>
    </row>
    <row r="19" spans="1:7">
      <c r="A19" s="8" t="s">
        <v>47</v>
      </c>
      <c r="B19" s="8" t="s">
        <v>119</v>
      </c>
      <c r="C19" s="34" t="str">
        <f>IF(G19=0,"Not Started",IF(G19&lt;1,"Progress",IF(G19=1,"")))</f>
        <v>Not Started</v>
      </c>
      <c r="D19" s="9"/>
      <c r="E19" s="9"/>
      <c r="F19" s="1"/>
      <c r="G19" s="43">
        <v>0</v>
      </c>
    </row>
    <row r="20" spans="1:7">
      <c r="A20" s="8" t="s">
        <v>48</v>
      </c>
      <c r="B20" s="8" t="s">
        <v>119</v>
      </c>
      <c r="C20" s="34" t="str">
        <f>IF(G20=0,"Not Started",IF(G20&lt;1,"Progress",IF(G20=1,"")))</f>
        <v>Not Started</v>
      </c>
      <c r="D20" s="9"/>
      <c r="E20" s="9"/>
      <c r="F20" s="1"/>
      <c r="G20" s="10">
        <v>0</v>
      </c>
    </row>
    <row r="21" spans="1:7">
      <c r="A21" s="8" t="s">
        <v>633</v>
      </c>
      <c r="B21" s="8" t="s">
        <v>119</v>
      </c>
      <c r="C21" s="34" t="str">
        <f>IF(G21=0,"Not Started",IF(G21&lt;1,"Progress",IF(G21=1,"")))</f>
        <v>Not Started</v>
      </c>
      <c r="D21" s="9"/>
      <c r="E21" s="9"/>
      <c r="F21" s="1"/>
      <c r="G21" s="10">
        <v>0</v>
      </c>
    </row>
    <row r="22" spans="1:7">
      <c r="A22" s="35" t="s">
        <v>49</v>
      </c>
      <c r="B22" s="36" t="s">
        <v>119</v>
      </c>
      <c r="C22" s="37" t="str">
        <f>IF(G22=0,"Not Started",IF(G22&lt;1,"Progress",IF(G22=1,"")))</f>
        <v>Not Started</v>
      </c>
      <c r="D22" s="38">
        <v>43948</v>
      </c>
      <c r="E22" s="38"/>
      <c r="F22" s="39">
        <f>_xlfn.NETWORKDAYS(D22,E22)</f>
        <v>-31391</v>
      </c>
      <c r="G22" s="40">
        <f>AVERAGE(G23,G33,G38,G41)</f>
        <v>0</v>
      </c>
    </row>
    <row r="23" spans="1:7">
      <c r="A23" s="11" t="s">
        <v>130</v>
      </c>
      <c r="B23" s="8" t="s">
        <v>119</v>
      </c>
      <c r="C23" s="34" t="str">
        <f>IF(G23=0,"Not Started",IF(G23&lt;1,"Progress",IF(G23=1,"")))</f>
        <v>Not Started</v>
      </c>
      <c r="D23" s="9"/>
      <c r="E23" s="9"/>
      <c r="F23" s="15">
        <f>_xlfn.NETWORKDAYS(D23,E23)</f>
        <v>0</v>
      </c>
      <c r="G23" s="16">
        <f>AVERAGE(G24:G32)</f>
        <v>0</v>
      </c>
    </row>
    <row r="24" spans="1:7">
      <c r="A24" s="87" t="s">
        <v>468</v>
      </c>
      <c r="B24" s="8" t="s">
        <v>119</v>
      </c>
      <c r="C24" s="34" t="str">
        <f>IF(G24=0,"Not Started",IF(G24&lt;1,"Progress",IF(G24=1,"")))</f>
        <v>Not Started</v>
      </c>
      <c r="D24" s="9"/>
      <c r="E24" s="9"/>
      <c r="F24" s="15">
        <f>_xlfn.NETWORKDAYS(D24,E24)</f>
        <v>0</v>
      </c>
      <c r="G24" s="10">
        <v>0</v>
      </c>
    </row>
    <row r="25" spans="1:7">
      <c r="A25" s="87" t="s">
        <v>621</v>
      </c>
      <c r="B25" s="8" t="s">
        <v>119</v>
      </c>
      <c r="C25" s="34" t="str">
        <f>IF(G25=0,"Not Started",IF(G25&lt;1,"Progress",IF(G25=1,"")))</f>
        <v>Not Started</v>
      </c>
      <c r="D25" s="9"/>
      <c r="E25" s="9"/>
      <c r="F25" s="15">
        <f>_xlfn.NETWORKDAYS(D25,E25)</f>
        <v>0</v>
      </c>
      <c r="G25" s="10">
        <v>0</v>
      </c>
    </row>
    <row r="26" spans="1:7">
      <c r="A26" s="87" t="s">
        <v>620</v>
      </c>
      <c r="B26" s="8" t="s">
        <v>119</v>
      </c>
      <c r="C26" s="34" t="str">
        <f>IF(G26=0,"Not Started",IF(G26&lt;1,"Progress",IF(G26=1,"")))</f>
        <v>Not Started</v>
      </c>
      <c r="D26" s="9"/>
      <c r="E26" s="9"/>
      <c r="F26" s="15">
        <f>_xlfn.NETWORKDAYS(D26,E26)</f>
        <v>0</v>
      </c>
      <c r="G26" s="10">
        <v>0</v>
      </c>
    </row>
    <row r="27" spans="1:7">
      <c r="A27" s="8" t="s">
        <v>469</v>
      </c>
      <c r="B27" s="8" t="s">
        <v>119</v>
      </c>
      <c r="C27" s="34" t="str">
        <f>IF(G27=0,"Not Started",IF(G27&lt;1,"Progress",IF(G27=1,"")))</f>
        <v>Not Started</v>
      </c>
      <c r="D27" s="9"/>
      <c r="E27" s="9"/>
      <c r="F27" s="15">
        <f>_xlfn.NETWORKDAYS(D27,E27)</f>
        <v>0</v>
      </c>
      <c r="G27" s="10">
        <v>0</v>
      </c>
    </row>
    <row r="28" spans="1:7">
      <c r="A28" s="8" t="s">
        <v>470</v>
      </c>
      <c r="B28" s="8" t="s">
        <v>119</v>
      </c>
      <c r="C28" s="34" t="str">
        <f>IF(G28=0,"Not Started",IF(G28&lt;1,"Progress",IF(G28=1,"")))</f>
        <v>Not Started</v>
      </c>
      <c r="D28" s="9"/>
      <c r="E28" s="9"/>
      <c r="F28" s="15">
        <f>_xlfn.NETWORKDAYS(D28,E28)</f>
        <v>0</v>
      </c>
      <c r="G28" s="10">
        <v>0</v>
      </c>
    </row>
    <row r="29" spans="1:7">
      <c r="A29" s="8" t="s">
        <v>629</v>
      </c>
      <c r="B29" s="8" t="s">
        <v>119</v>
      </c>
      <c r="C29" s="34" t="str">
        <f>IF(G29=0,"Not Started",IF(G29&lt;1,"Progress",IF(G29=1,"")))</f>
        <v>Not Started</v>
      </c>
      <c r="D29" s="9"/>
      <c r="E29" s="9"/>
      <c r="F29" s="15">
        <f>_xlfn.NETWORKDAYS(D29,E29)</f>
        <v>0</v>
      </c>
      <c r="G29" s="10">
        <v>0</v>
      </c>
    </row>
    <row r="30" spans="1:7">
      <c r="A30" s="8" t="s">
        <v>630</v>
      </c>
      <c r="B30" s="8" t="s">
        <v>119</v>
      </c>
      <c r="C30" s="34" t="str">
        <f>IF(G30=0,"Not Started",IF(G30&lt;1,"Progress",IF(G30=1,"")))</f>
        <v>Not Started</v>
      </c>
      <c r="D30" s="9"/>
      <c r="E30" s="9"/>
      <c r="F30" s="15">
        <f>_xlfn.NETWORKDAYS(D30,E30)</f>
        <v>0</v>
      </c>
      <c r="G30" s="10">
        <v>0</v>
      </c>
    </row>
    <row r="31" spans="1:7">
      <c r="A31" s="8" t="s">
        <v>623</v>
      </c>
      <c r="B31" s="8" t="s">
        <v>119</v>
      </c>
      <c r="C31" s="34" t="str">
        <f>IF(G31=0,"Not Started",IF(G31&lt;1,"Progress",IF(G31=1,"")))</f>
        <v>Not Started</v>
      </c>
      <c r="D31" s="9"/>
      <c r="E31" s="9"/>
      <c r="F31" s="15">
        <f>_xlfn.NETWORKDAYS(D31,E31)</f>
        <v>0</v>
      </c>
      <c r="G31" s="10">
        <v>0</v>
      </c>
    </row>
    <row r="32" spans="1:7">
      <c r="A32" s="8" t="s">
        <v>624</v>
      </c>
      <c r="B32" s="8" t="s">
        <v>119</v>
      </c>
      <c r="C32" s="34" t="str">
        <f>IF(G32=0,"Not Started",IF(G32&lt;1,"Progress",IF(G32=1,"")))</f>
        <v>Not Started</v>
      </c>
      <c r="D32" s="9"/>
      <c r="E32" s="9"/>
      <c r="F32" s="15">
        <f>_xlfn.NETWORKDAYS(D32,E32)</f>
        <v>0</v>
      </c>
      <c r="G32" s="10">
        <v>0</v>
      </c>
    </row>
    <row r="33" spans="1:7">
      <c r="A33" s="11" t="s">
        <v>473</v>
      </c>
      <c r="B33" s="8" t="s">
        <v>119</v>
      </c>
      <c r="C33" s="34" t="str">
        <f>IF(G33=0,"Not Started",IF(G33&lt;1,"Progress",IF(G33=1,"")))</f>
        <v>Not Started</v>
      </c>
      <c r="D33" s="9"/>
      <c r="E33" s="9"/>
      <c r="F33" s="15">
        <f>_xlfn.NETWORKDAYS(D33,E33)</f>
        <v>0</v>
      </c>
      <c r="G33" s="16">
        <f>AVERAGE(G34:G37)</f>
        <v>0</v>
      </c>
    </row>
    <row r="34" spans="1:7">
      <c r="A34" s="8" t="s">
        <v>626</v>
      </c>
      <c r="B34" s="8" t="s">
        <v>119</v>
      </c>
      <c r="C34" s="34" t="str">
        <f>IF(G34=0,"Not Started",IF(G34&lt;1,"Progress",IF(G34=1,"")))</f>
        <v>Progress</v>
      </c>
      <c r="D34" s="9">
        <v>43948</v>
      </c>
      <c r="E34" s="9">
        <v>43952</v>
      </c>
      <c r="F34" s="15">
        <f>_xlfn.NETWORKDAYS(D34,E34)</f>
        <v>5</v>
      </c>
      <c r="G34" s="10">
        <v>0.6</v>
      </c>
    </row>
    <row r="35" spans="1:7">
      <c r="A35" s="8" t="s">
        <v>476</v>
      </c>
      <c r="B35" s="8" t="s">
        <v>119</v>
      </c>
      <c r="C35" s="34" t="str">
        <f>IF(G35=0,"Not Started",IF(G35&lt;1,"Progress",IF(G35=1,"")))</f>
        <v>Progress</v>
      </c>
      <c r="D35" s="9">
        <v>43948</v>
      </c>
      <c r="E35" s="9">
        <v>43952</v>
      </c>
      <c r="F35" s="15">
        <f>_xlfn.NETWORKDAYS(D35,E35)</f>
        <v>5</v>
      </c>
      <c r="G35" s="10">
        <v>0.6</v>
      </c>
    </row>
    <row r="36" spans="1:7">
      <c r="A36" s="8" t="s">
        <v>627</v>
      </c>
      <c r="B36" s="8" t="s">
        <v>119</v>
      </c>
      <c r="C36" s="34" t="str">
        <f>IF(G36=0,"Not Started",IF(G36&lt;1,"Progress",IF(G36=1,"")))</f>
        <v>Not Started</v>
      </c>
      <c r="D36" s="9"/>
      <c r="E36" s="9"/>
      <c r="F36" s="15">
        <f>_xlfn.NETWORKDAYS(D36,E36)</f>
        <v>0</v>
      </c>
      <c r="G36" s="10">
        <f>AVERAGE(G37:G38)</f>
        <v>0</v>
      </c>
    </row>
    <row r="37" spans="1:7">
      <c r="A37" s="8" t="s">
        <v>628</v>
      </c>
      <c r="B37" s="8" t="s">
        <v>119</v>
      </c>
      <c r="C37" s="34" t="str">
        <f>IF(G37=0,"Not Started",IF(G37&lt;1,"Progress",IF(G37=1,"")))</f>
        <v>Not Started</v>
      </c>
      <c r="D37" s="9"/>
      <c r="E37" s="9"/>
      <c r="F37" s="15">
        <f>_xlfn.NETWORKDAYS(D37,E37)</f>
        <v>0</v>
      </c>
      <c r="G37" s="10">
        <f>AVERAGE(G38:G39)</f>
        <v>0</v>
      </c>
    </row>
    <row r="38" spans="1:7">
      <c r="A38" s="107" t="s">
        <v>478</v>
      </c>
      <c r="B38" s="8" t="s">
        <v>119</v>
      </c>
      <c r="C38" s="34" t="str">
        <f>IF(G38=0,"Not Started",IF(G38&lt;1,"Progress",IF(G38=1,"")))</f>
        <v>Not Started</v>
      </c>
      <c r="D38" s="9"/>
      <c r="E38" s="9"/>
      <c r="F38" s="15">
        <f>_xlfn.NETWORKDAYS(D38,E38)</f>
        <v>0</v>
      </c>
      <c r="G38" s="10">
        <f>AVERAGE(G39:G40)</f>
        <v>0</v>
      </c>
    </row>
    <row r="39" spans="1:7">
      <c r="A39" s="8" t="s">
        <v>480</v>
      </c>
      <c r="B39" s="8" t="s">
        <v>119</v>
      </c>
      <c r="C39" s="34" t="str">
        <f>IF(G39=0,"Not Started",IF(G39&lt;1,"Progress",IF(G39=1,"")))</f>
        <v>Not Started</v>
      </c>
      <c r="D39" s="9"/>
      <c r="E39" s="9"/>
      <c r="F39" s="15">
        <f>_xlfn.NETWORKDAYS(D39,E39)</f>
        <v>0</v>
      </c>
      <c r="G39" s="10">
        <v>0</v>
      </c>
    </row>
    <row r="40" spans="1:7">
      <c r="A40" s="8" t="s">
        <v>481</v>
      </c>
      <c r="B40" s="8" t="s">
        <v>119</v>
      </c>
      <c r="C40" s="34" t="str">
        <f>IF(G40=0,"Not Started",IF(G40&lt;1,"Progress",IF(G40=1,"")))</f>
        <v>Not Started</v>
      </c>
      <c r="D40" s="9"/>
      <c r="E40" s="9"/>
      <c r="F40" s="15">
        <f>_xlfn.NETWORKDAYS(D40,E40)</f>
        <v>0</v>
      </c>
      <c r="G40" s="10">
        <v>0</v>
      </c>
    </row>
    <row r="41" spans="1:7">
      <c r="A41" s="11" t="s">
        <v>482</v>
      </c>
      <c r="B41" s="8" t="s">
        <v>119</v>
      </c>
      <c r="C41" s="34" t="str">
        <f>IF(G41=0,"Not Started",IF(G41&lt;1,"Progress",IF(G41=1,"")))</f>
        <v>Not Started</v>
      </c>
      <c r="D41" s="9"/>
      <c r="E41" s="9"/>
      <c r="F41" s="15">
        <f>_xlfn.NETWORKDAYS(D41,E41)</f>
        <v>0</v>
      </c>
      <c r="G41" s="16">
        <f>AVERAGE(G42:G43)</f>
        <v>0</v>
      </c>
    </row>
    <row r="42" spans="1:7">
      <c r="A42" s="8" t="s">
        <v>483</v>
      </c>
      <c r="B42" s="8" t="s">
        <v>119</v>
      </c>
      <c r="C42" s="34" t="str">
        <f>IF(G42=0,"Not Started",IF(G42&lt;1,"Progress",IF(G42=1,"")))</f>
        <v>Not Started</v>
      </c>
      <c r="D42" s="9"/>
      <c r="E42" s="9"/>
      <c r="F42" s="15">
        <f>_xlfn.NETWORKDAYS(D42,E42)</f>
        <v>0</v>
      </c>
      <c r="G42" s="10">
        <v>0</v>
      </c>
    </row>
    <row r="43" spans="1:7">
      <c r="A43" s="8" t="s">
        <v>484</v>
      </c>
      <c r="B43" s="8" t="s">
        <v>119</v>
      </c>
      <c r="C43" s="34" t="str">
        <f>IF(G43=0,"Not Started",IF(G43&lt;1,"Progress",IF(G43=1,"")))</f>
        <v>Not Started</v>
      </c>
      <c r="D43" s="9"/>
      <c r="E43" s="9"/>
      <c r="F43" s="15">
        <f>_xlfn.NETWORKDAYS(D43,E43)</f>
        <v>0</v>
      </c>
      <c r="G43" s="10">
        <v>0</v>
      </c>
    </row>
    <row r="44" spans="1:7">
      <c r="A44" s="35" t="s">
        <v>0</v>
      </c>
      <c r="B44" s="36" t="s">
        <v>119</v>
      </c>
      <c r="C44" s="37" t="str">
        <f>IF(G44=0,"Not Started",IF(G44&lt;1,"Progress",IF(G44=1,"")))</f>
        <v>Not Started</v>
      </c>
      <c r="D44" s="38"/>
      <c r="E44" s="38"/>
      <c r="F44" s="39"/>
      <c r="G44" s="113">
        <v>0</v>
      </c>
    </row>
    <row r="45" spans="1:7">
      <c r="A45" s="11" t="s">
        <v>57</v>
      </c>
      <c r="B45" s="8" t="s">
        <v>119</v>
      </c>
      <c r="C45" s="21" t="str">
        <f>IF(G45=0,"Not Started",IF(G45&lt;1,"Progress",IF(G45=1,"")))</f>
        <v>Not Started</v>
      </c>
      <c r="D45" s="9"/>
      <c r="E45" s="9"/>
      <c r="F45" s="15"/>
      <c r="G45" s="16">
        <f>AVERAGE(G46:G49)</f>
        <v>0</v>
      </c>
    </row>
    <row r="46" spans="1:7">
      <c r="A46" s="8" t="s">
        <v>631</v>
      </c>
      <c r="B46" s="8" t="s">
        <v>119</v>
      </c>
      <c r="C46" s="21" t="str">
        <f>IF(G46=0,"Not Started",IF(G46&lt;1,"Progress",IF(G46=1,"")))</f>
        <v>Not Started</v>
      </c>
      <c r="D46" s="9"/>
      <c r="E46" s="9"/>
      <c r="F46" s="15"/>
      <c r="G46" s="10">
        <v>0</v>
      </c>
    </row>
    <row r="47" spans="1:7">
      <c r="A47" s="8" t="s">
        <v>55</v>
      </c>
      <c r="B47" s="8" t="s">
        <v>119</v>
      </c>
      <c r="C47" s="21" t="str">
        <f>IF(G47=0,"Not Started",IF(G47&lt;1,"Progress",IF(G47=1,"")))</f>
        <v>Not Started</v>
      </c>
      <c r="D47" s="9"/>
      <c r="E47" s="9"/>
      <c r="F47" s="15"/>
      <c r="G47" s="10">
        <v>0</v>
      </c>
    </row>
    <row r="48" spans="1:7">
      <c r="A48" s="8" t="s">
        <v>56</v>
      </c>
      <c r="B48" s="8" t="s">
        <v>119</v>
      </c>
      <c r="C48" s="21" t="str">
        <f>IF(G48=0,"Not Started",IF(G48&lt;1,"Progress",IF(G48=1,"")))</f>
        <v>Not Started</v>
      </c>
      <c r="D48" s="9"/>
      <c r="E48" s="9"/>
      <c r="F48" s="15"/>
      <c r="G48" s="10">
        <v>0</v>
      </c>
    </row>
    <row r="49" spans="1:7">
      <c r="A49" s="8" t="s">
        <v>56</v>
      </c>
      <c r="B49" s="8" t="s">
        <v>119</v>
      </c>
      <c r="C49" s="21" t="str">
        <f>IF(G49=0,"Not Started",IF(G49&lt;1,"Progress",IF(G49=1,"")))</f>
        <v>Not Started</v>
      </c>
      <c r="D49" s="9"/>
      <c r="E49" s="9"/>
      <c r="F49" s="15"/>
      <c r="G49" s="10">
        <v>0</v>
      </c>
    </row>
    <row r="50" spans="1:7">
      <c r="A50" s="11" t="s">
        <v>494</v>
      </c>
      <c r="B50" s="8" t="s">
        <v>119</v>
      </c>
      <c r="C50" s="21" t="str">
        <f>IF(G50=0,"Not Started",IF(G50&lt;1,"Progress",IF(G50=1,"")))</f>
        <v>Not Started</v>
      </c>
      <c r="D50" s="9"/>
      <c r="E50" s="9"/>
      <c r="F50" s="15"/>
      <c r="G50" s="16">
        <f>AVERAGE(G51:G54)</f>
        <v>0</v>
      </c>
    </row>
    <row r="51" spans="1:7">
      <c r="A51" s="8" t="s">
        <v>632</v>
      </c>
      <c r="B51" s="8" t="s">
        <v>119</v>
      </c>
      <c r="C51" s="21" t="str">
        <f>IF(G51=0,"Not Started",IF(G51&lt;1,"Progress",IF(G51=1,"")))</f>
        <v>Not Started</v>
      </c>
      <c r="D51" s="9"/>
      <c r="E51" s="9"/>
      <c r="F51" s="15"/>
      <c r="G51" s="10">
        <v>0</v>
      </c>
    </row>
    <row r="52" spans="1:7">
      <c r="A52" s="8" t="s">
        <v>497</v>
      </c>
      <c r="B52" s="8" t="s">
        <v>119</v>
      </c>
      <c r="C52" s="21" t="str">
        <f>IF(G52=0,"Not Started",IF(G52&lt;1,"Progress",IF(G52=1,"")))</f>
        <v>Not Started</v>
      </c>
      <c r="D52" s="9"/>
      <c r="E52" s="9"/>
      <c r="F52" s="15"/>
      <c r="G52" s="10">
        <v>0</v>
      </c>
    </row>
    <row r="53" spans="1:7">
      <c r="A53" s="8" t="s">
        <v>496</v>
      </c>
      <c r="B53" s="8" t="s">
        <v>119</v>
      </c>
      <c r="C53" s="21" t="str">
        <f>IF(G53=0,"Not Started",IF(G53&lt;1,"Progress",IF(G53=1,"")))</f>
        <v>Not Started</v>
      </c>
      <c r="D53" s="9"/>
      <c r="E53" s="9"/>
      <c r="F53" s="15"/>
      <c r="G53" s="10">
        <v>0</v>
      </c>
    </row>
    <row r="54" spans="1:7">
      <c r="A54" s="8" t="s">
        <v>498</v>
      </c>
      <c r="B54" s="8" t="s">
        <v>119</v>
      </c>
      <c r="C54" s="21" t="str">
        <f>IF(G54=0,"Not Started",IF(G54&lt;1,"Progress",IF(G54=1,"")))</f>
        <v>Not Started</v>
      </c>
      <c r="D54" s="9"/>
      <c r="E54" s="9"/>
      <c r="F54" s="15"/>
      <c r="G54" s="10">
        <v>0</v>
      </c>
    </row>
  </sheetData>
  <phoneticPr fontId="1" type="noConversion"/>
  <pageMargins left="0.70" right="0.70" top="0.75" bottom="0.75" header="0.30" footer="0.3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ColWidth="8.83203125" defaultRowHeight="16.500000"/>
  <sheetData/>
  <phoneticPr fontId="1" type="noConversion"/>
  <pageMargins left="0.70" right="0.70" top="0.75" bottom="0.75" header="0.30" footer="0.3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5"/>
  <sheetViews>
    <sheetView zoomScale="131" workbookViewId="0">
      <selection activeCell="H7" sqref="H7"/>
    </sheetView>
  </sheetViews>
  <sheetFormatPr defaultColWidth="8.83203125" defaultRowHeight="16.500000"/>
  <cols>
    <col min="1" max="2" width="15.88000011" customWidth="1" outlineLevel="0"/>
    <col min="3" max="3" width="25.12999916" customWidth="1" outlineLevel="0"/>
    <col min="4" max="4" width="28.87999916" customWidth="1" outlineLevel="0"/>
    <col min="5" max="5" width="16.87999916" customWidth="1" outlineLevel="0"/>
    <col min="6" max="6" width="10.38000011" customWidth="1" outlineLevel="0"/>
    <col min="11" max="11" width="20.37999916" customWidth="1" outlineLevel="0"/>
  </cols>
  <sheetData>
    <row r="1" spans="1:11" ht="64.500000" customHeight="1">
      <c r="A1" s="83" t="s">
        <v>178</v>
      </c>
      <c r="B1" s="83"/>
      <c r="C1" s="83"/>
      <c r="D1" s="83"/>
      <c r="E1" s="83"/>
      <c r="F1" s="83"/>
      <c r="G1" s="83"/>
      <c r="H1" s="83"/>
      <c r="I1" s="83"/>
      <c r="J1" s="83"/>
      <c r="K1" s="83"/>
    </row>
    <row r="2" spans="1:11" ht="27.750000">
      <c r="A2" s="54" t="s">
        <v>179</v>
      </c>
      <c r="B2" s="54" t="s">
        <v>181</v>
      </c>
      <c r="C2" s="54" t="s">
        <v>182</v>
      </c>
      <c r="D2" s="54" t="s">
        <v>195</v>
      </c>
      <c r="E2" s="54" t="s">
        <v>201</v>
      </c>
      <c r="F2" s="54" t="s">
        <v>203</v>
      </c>
      <c r="G2" s="54" t="s">
        <v>204</v>
      </c>
      <c r="H2" s="54" t="s">
        <v>205</v>
      </c>
      <c r="I2" s="54" t="s">
        <v>207</v>
      </c>
      <c r="J2" s="54" t="s">
        <v>208</v>
      </c>
      <c r="K2" s="54" t="s">
        <v>209</v>
      </c>
    </row>
    <row r="3" spans="1:11" ht="20.250000">
      <c r="A3" s="117" t="s">
        <v>180</v>
      </c>
      <c r="B3" s="117" t="s">
        <v>499</v>
      </c>
      <c r="C3" s="56" t="s">
        <v>560</v>
      </c>
      <c r="D3" s="56" t="s">
        <v>506</v>
      </c>
      <c r="E3" s="56" t="s">
        <v>525</v>
      </c>
      <c r="F3" s="56">
        <v>11</v>
      </c>
      <c r="G3" s="56"/>
      <c r="H3" s="56" t="s">
        <v>260</v>
      </c>
      <c r="I3" s="56" t="s">
        <v>260</v>
      </c>
      <c r="J3" s="56" t="s">
        <v>260</v>
      </c>
      <c r="K3" s="60"/>
    </row>
    <row r="4" spans="1:11">
      <c r="A4" s="81"/>
      <c r="B4" s="81"/>
      <c r="C4" s="53" t="s">
        <v>634</v>
      </c>
      <c r="D4" s="55" t="s">
        <v>636</v>
      </c>
      <c r="E4" s="55" t="s">
        <v>532</v>
      </c>
      <c r="F4" s="55">
        <v>128</v>
      </c>
      <c r="G4" s="55"/>
      <c r="H4" s="55"/>
      <c r="I4" s="55" t="s">
        <v>260</v>
      </c>
      <c r="J4" s="55" t="s">
        <v>260</v>
      </c>
      <c r="K4" s="61"/>
    </row>
    <row r="5" spans="1:11">
      <c r="A5" s="81"/>
      <c r="B5" s="81"/>
      <c r="C5" s="53" t="s">
        <v>211</v>
      </c>
      <c r="D5" s="55" t="s">
        <v>510</v>
      </c>
      <c r="E5" s="55" t="s">
        <v>530</v>
      </c>
      <c r="F5" s="55">
        <v>255</v>
      </c>
      <c r="G5" s="55"/>
      <c r="H5" s="55"/>
      <c r="I5" s="55" t="s">
        <v>260</v>
      </c>
      <c r="J5" s="55" t="s">
        <v>260</v>
      </c>
      <c r="K5" s="61"/>
    </row>
    <row r="6" spans="1:11">
      <c r="A6" s="81"/>
      <c r="B6" s="81"/>
      <c r="C6" s="53" t="s">
        <v>522</v>
      </c>
      <c r="D6" s="55" t="s">
        <v>523</v>
      </c>
      <c r="E6" s="55" t="s">
        <v>557</v>
      </c>
      <c r="F6" s="55">
        <v>128</v>
      </c>
      <c r="G6" s="55"/>
      <c r="H6" s="55"/>
      <c r="I6" s="55" t="s">
        <v>260</v>
      </c>
      <c r="J6" s="55"/>
      <c r="K6" s="61"/>
    </row>
    <row r="7" spans="1:11">
      <c r="A7" s="81"/>
      <c r="B7" s="81"/>
      <c r="C7" s="53" t="s">
        <v>521</v>
      </c>
      <c r="D7" s="55" t="s">
        <v>516</v>
      </c>
      <c r="E7" s="55" t="s">
        <v>532</v>
      </c>
      <c r="F7" s="55">
        <v>128</v>
      </c>
      <c r="G7" s="55"/>
      <c r="H7" s="55"/>
      <c r="I7" s="55" t="s">
        <v>260</v>
      </c>
      <c r="J7" s="55"/>
      <c r="K7" s="61"/>
    </row>
    <row r="8" spans="1:11">
      <c r="A8" s="81"/>
      <c r="B8" s="81"/>
      <c r="C8" s="53" t="s">
        <v>186</v>
      </c>
      <c r="D8" s="55" t="s">
        <v>518</v>
      </c>
      <c r="E8" s="55" t="s">
        <v>528</v>
      </c>
      <c r="F8" s="55"/>
      <c r="G8" s="55"/>
      <c r="H8" s="55"/>
      <c r="I8" s="55" t="s">
        <v>206</v>
      </c>
      <c r="J8" s="55"/>
      <c r="K8" s="61"/>
    </row>
    <row r="9" spans="1:11">
      <c r="A9" s="82"/>
      <c r="B9" s="82"/>
      <c r="C9" s="53" t="s">
        <v>188</v>
      </c>
      <c r="D9" s="55" t="s">
        <v>519</v>
      </c>
      <c r="E9" s="55" t="s">
        <v>528</v>
      </c>
      <c r="F9" s="55"/>
      <c r="G9" s="55"/>
      <c r="H9" s="55"/>
      <c r="I9" s="55" t="s">
        <v>206</v>
      </c>
      <c r="J9" s="55"/>
      <c r="K9" s="61"/>
    </row>
    <row r="10" spans="1:11">
      <c r="A10" s="80" t="s">
        <v>323</v>
      </c>
      <c r="B10" s="80" t="s">
        <v>500</v>
      </c>
      <c r="C10" s="57" t="s">
        <v>533</v>
      </c>
      <c r="D10" s="57" t="s">
        <v>546</v>
      </c>
      <c r="E10" s="59" t="s">
        <v>561</v>
      </c>
      <c r="F10" s="59">
        <v>11</v>
      </c>
      <c r="G10" s="59"/>
      <c r="H10" s="59" t="s">
        <v>206</v>
      </c>
      <c r="I10" s="59" t="s">
        <v>260</v>
      </c>
      <c r="J10" s="59" t="s">
        <v>260</v>
      </c>
      <c r="K10" s="62"/>
    </row>
    <row r="11" spans="1:11">
      <c r="A11" s="81"/>
      <c r="B11" s="81"/>
      <c r="C11" s="53" t="s">
        <v>638</v>
      </c>
      <c r="D11" s="53" t="s">
        <v>647</v>
      </c>
      <c r="E11" s="55" t="s">
        <v>569</v>
      </c>
      <c r="F11" s="55">
        <v>45</v>
      </c>
      <c r="G11" s="55"/>
      <c r="H11" s="55"/>
      <c r="I11" s="55" t="s">
        <v>260</v>
      </c>
      <c r="J11" s="55"/>
      <c r="K11" s="61"/>
    </row>
    <row r="12" spans="1:11">
      <c r="A12" s="81"/>
      <c r="B12" s="81"/>
      <c r="C12" s="53" t="s">
        <v>640</v>
      </c>
      <c r="D12" s="53" t="s">
        <v>648</v>
      </c>
      <c r="E12" s="55" t="s">
        <v>569</v>
      </c>
      <c r="F12" s="55">
        <v>128</v>
      </c>
      <c r="G12" s="55"/>
      <c r="H12" s="55"/>
      <c r="I12" s="55"/>
      <c r="J12" s="55"/>
      <c r="K12" s="61"/>
    </row>
    <row r="13" spans="1:11">
      <c r="A13" s="81"/>
      <c r="B13" s="81"/>
      <c r="C13" s="53" t="s">
        <v>650</v>
      </c>
      <c r="D13" s="53" t="s">
        <v>507</v>
      </c>
      <c r="E13" s="55" t="s">
        <v>569</v>
      </c>
      <c r="F13" s="55">
        <v>128</v>
      </c>
      <c r="G13" s="55"/>
      <c r="H13" s="55"/>
      <c r="I13" s="55" t="s">
        <v>260</v>
      </c>
      <c r="J13" s="55"/>
      <c r="K13" s="61"/>
    </row>
    <row r="14" spans="1:11">
      <c r="A14" s="81"/>
      <c r="B14" s="81"/>
      <c r="C14" s="53" t="s">
        <v>651</v>
      </c>
      <c r="D14" s="53" t="s">
        <v>649</v>
      </c>
      <c r="E14" s="55" t="s">
        <v>569</v>
      </c>
      <c r="F14" s="55">
        <v>255</v>
      </c>
      <c r="G14" s="55"/>
      <c r="H14" s="55"/>
      <c r="I14" s="55"/>
      <c r="J14" s="55"/>
      <c r="K14" s="61"/>
    </row>
    <row r="15" spans="1:11">
      <c r="A15" s="81"/>
      <c r="B15" s="81"/>
      <c r="C15" s="53" t="s">
        <v>642</v>
      </c>
      <c r="D15" s="53" t="s">
        <v>652</v>
      </c>
      <c r="E15" s="55" t="s">
        <v>569</v>
      </c>
      <c r="F15" s="55">
        <v>255</v>
      </c>
      <c r="G15" s="55"/>
      <c r="H15" s="55"/>
      <c r="I15" s="55"/>
      <c r="J15" s="55"/>
      <c r="K15" s="61"/>
    </row>
    <row r="16" spans="1:11">
      <c r="A16" s="81"/>
      <c r="B16" s="81"/>
      <c r="C16" s="53" t="s">
        <v>538</v>
      </c>
      <c r="D16" s="53" t="s">
        <v>548</v>
      </c>
      <c r="E16" s="55" t="s">
        <v>569</v>
      </c>
      <c r="F16" s="55">
        <v>45</v>
      </c>
      <c r="G16" s="55"/>
      <c r="H16" s="55"/>
      <c r="I16" s="55"/>
      <c r="J16" s="55"/>
      <c r="K16" s="61"/>
    </row>
    <row r="17" spans="1:11">
      <c r="A17" s="81"/>
      <c r="B17" s="81"/>
      <c r="C17" s="53" t="s">
        <v>504</v>
      </c>
      <c r="D17" s="53" t="s">
        <v>570</v>
      </c>
      <c r="E17" s="55" t="s">
        <v>569</v>
      </c>
      <c r="F17" s="55">
        <v>45</v>
      </c>
      <c r="G17" s="55"/>
      <c r="H17" s="55"/>
      <c r="I17" s="55" t="s">
        <v>260</v>
      </c>
      <c r="J17" s="55"/>
      <c r="K17" s="61"/>
    </row>
    <row r="18" spans="1:11">
      <c r="A18" s="81"/>
      <c r="B18" s="81"/>
      <c r="C18" s="53" t="s">
        <v>643</v>
      </c>
      <c r="D18" s="55" t="s">
        <v>653</v>
      </c>
      <c r="E18" s="55" t="s">
        <v>569</v>
      </c>
      <c r="F18" s="55">
        <v>45</v>
      </c>
      <c r="G18" s="55"/>
      <c r="H18" s="55"/>
      <c r="I18" s="55" t="s">
        <v>260</v>
      </c>
      <c r="J18" s="55"/>
      <c r="K18" s="61"/>
    </row>
    <row r="19" spans="1:11">
      <c r="A19" s="81"/>
      <c r="B19" s="81"/>
      <c r="C19" s="53" t="s">
        <v>644</v>
      </c>
      <c r="D19" s="55" t="s">
        <v>576</v>
      </c>
      <c r="E19" s="55" t="s">
        <v>569</v>
      </c>
      <c r="F19" s="55">
        <v>45</v>
      </c>
      <c r="G19" s="55"/>
      <c r="H19" s="55"/>
      <c r="I19" s="55"/>
      <c r="J19" s="55"/>
      <c r="K19" s="61"/>
    </row>
    <row r="20" spans="1:11">
      <c r="A20" s="81"/>
      <c r="B20" s="81"/>
      <c r="C20" s="53" t="s">
        <v>645</v>
      </c>
      <c r="D20" s="55" t="s">
        <v>654</v>
      </c>
      <c r="E20" s="55" t="s">
        <v>569</v>
      </c>
      <c r="F20" s="55">
        <v>128</v>
      </c>
      <c r="G20" s="55"/>
      <c r="H20" s="55"/>
      <c r="I20" s="55"/>
      <c r="J20" s="55"/>
      <c r="K20" s="61"/>
    </row>
    <row r="21" spans="1:11">
      <c r="A21" s="81"/>
      <c r="B21" s="81"/>
      <c r="C21" s="53" t="s">
        <v>646</v>
      </c>
      <c r="D21" s="55" t="s">
        <v>655</v>
      </c>
      <c r="E21" s="55" t="s">
        <v>569</v>
      </c>
      <c r="F21" s="55">
        <v>45</v>
      </c>
      <c r="G21" s="55"/>
      <c r="H21" s="55"/>
      <c r="I21" s="55"/>
      <c r="J21" s="55"/>
      <c r="K21" s="61"/>
    </row>
    <row r="22" spans="1:11">
      <c r="A22" s="81"/>
      <c r="B22" s="81"/>
      <c r="C22" s="53" t="s">
        <v>186</v>
      </c>
      <c r="D22" s="55" t="s">
        <v>518</v>
      </c>
      <c r="E22" s="55" t="s">
        <v>528</v>
      </c>
      <c r="F22" s="55"/>
      <c r="G22" s="55"/>
      <c r="H22" s="55"/>
      <c r="I22" s="55" t="s">
        <v>260</v>
      </c>
      <c r="J22" s="55"/>
      <c r="K22" s="61"/>
    </row>
    <row r="23" spans="1:11">
      <c r="A23" s="82"/>
      <c r="B23" s="82"/>
      <c r="C23" s="53" t="s">
        <v>188</v>
      </c>
      <c r="D23" s="55" t="s">
        <v>519</v>
      </c>
      <c r="E23" s="55" t="s">
        <v>528</v>
      </c>
      <c r="F23" s="55"/>
      <c r="G23" s="55"/>
      <c r="H23" s="55"/>
      <c r="I23" s="55" t="s">
        <v>260</v>
      </c>
      <c r="J23" s="55"/>
      <c r="K23" s="61"/>
    </row>
    <row r="24" spans="1:11">
      <c r="A24" s="77" t="s">
        <v>501</v>
      </c>
      <c r="B24" s="80" t="s">
        <v>502</v>
      </c>
      <c r="C24" s="57" t="s">
        <v>552</v>
      </c>
      <c r="D24" s="57" t="s">
        <v>658</v>
      </c>
      <c r="E24" s="59" t="s">
        <v>563</v>
      </c>
      <c r="F24" s="59">
        <v>11</v>
      </c>
      <c r="G24" s="59"/>
      <c r="H24" s="59" t="s">
        <v>206</v>
      </c>
      <c r="I24" s="59" t="s">
        <v>206</v>
      </c>
      <c r="J24" s="59"/>
      <c r="K24" s="59"/>
    </row>
    <row r="25" spans="1:11">
      <c r="A25" s="78"/>
      <c r="B25" s="81"/>
      <c r="C25" s="58" t="s">
        <v>560</v>
      </c>
      <c r="D25" s="58" t="s">
        <v>506</v>
      </c>
      <c r="E25" s="58" t="s">
        <v>564</v>
      </c>
      <c r="F25" s="58">
        <v>11</v>
      </c>
      <c r="G25" s="58"/>
      <c r="H25" s="58"/>
      <c r="I25" s="58" t="s">
        <v>260</v>
      </c>
      <c r="J25" s="58"/>
      <c r="K25" s="63" t="s">
        <v>566</v>
      </c>
    </row>
    <row r="26" spans="1:11">
      <c r="A26" s="78"/>
      <c r="B26" s="81"/>
      <c r="C26" s="58" t="s">
        <v>533</v>
      </c>
      <c r="D26" s="58" t="s">
        <v>546</v>
      </c>
      <c r="E26" s="58" t="s">
        <v>565</v>
      </c>
      <c r="F26" s="58">
        <v>11</v>
      </c>
      <c r="G26" s="58"/>
      <c r="H26" s="58"/>
      <c r="I26" s="58" t="s">
        <v>260</v>
      </c>
      <c r="J26" s="58"/>
      <c r="K26" s="63" t="s">
        <v>567</v>
      </c>
    </row>
    <row r="27" spans="1:11">
      <c r="A27" s="81"/>
      <c r="B27" s="81"/>
      <c r="C27" s="53" t="s">
        <v>186</v>
      </c>
      <c r="D27" s="55" t="s">
        <v>518</v>
      </c>
      <c r="E27" s="55" t="s">
        <v>528</v>
      </c>
      <c r="F27" s="55"/>
      <c r="G27" s="55"/>
      <c r="H27" s="55"/>
      <c r="I27" s="55" t="s">
        <v>260</v>
      </c>
      <c r="J27" s="55"/>
      <c r="K27" s="61"/>
    </row>
    <row r="28" spans="1:11">
      <c r="A28" s="82"/>
      <c r="B28" s="82"/>
      <c r="C28" s="53" t="s">
        <v>188</v>
      </c>
      <c r="D28" s="55" t="s">
        <v>519</v>
      </c>
      <c r="E28" s="55" t="s">
        <v>528</v>
      </c>
      <c r="F28" s="55"/>
      <c r="G28" s="55"/>
      <c r="H28" s="55"/>
      <c r="I28" s="55" t="s">
        <v>260</v>
      </c>
      <c r="J28" s="55"/>
      <c r="K28" s="61"/>
    </row>
    <row r="29" spans="1:11">
      <c r="A29" s="124" t="s">
        <v>436</v>
      </c>
      <c r="B29" s="86" t="s">
        <v>503</v>
      </c>
      <c r="C29" s="57" t="s">
        <v>539</v>
      </c>
      <c r="D29" s="57" t="s">
        <v>551</v>
      </c>
      <c r="E29" s="59" t="s">
        <v>558</v>
      </c>
      <c r="F29" s="59">
        <v>11</v>
      </c>
      <c r="G29" s="59"/>
      <c r="H29" s="59" t="s">
        <v>247</v>
      </c>
      <c r="I29" s="59" t="s">
        <v>246</v>
      </c>
      <c r="J29" s="59"/>
      <c r="K29" s="62"/>
    </row>
    <row r="30" spans="1:11">
      <c r="A30" s="124"/>
      <c r="B30" s="86"/>
      <c r="C30" s="58" t="s">
        <v>560</v>
      </c>
      <c r="D30" s="58" t="s">
        <v>506</v>
      </c>
      <c r="E30" s="58" t="s">
        <v>565</v>
      </c>
      <c r="F30" s="58">
        <v>11</v>
      </c>
      <c r="G30" s="58"/>
      <c r="H30" s="58"/>
      <c r="I30" s="58" t="s">
        <v>260</v>
      </c>
      <c r="J30" s="58"/>
      <c r="K30" s="63" t="s">
        <v>566</v>
      </c>
    </row>
    <row r="31" spans="1:11">
      <c r="A31" s="124"/>
      <c r="B31" s="86"/>
      <c r="C31" s="58" t="s">
        <v>533</v>
      </c>
      <c r="D31" s="58" t="s">
        <v>546</v>
      </c>
      <c r="E31" s="58" t="s">
        <v>565</v>
      </c>
      <c r="F31" s="58">
        <v>11</v>
      </c>
      <c r="G31" s="58"/>
      <c r="H31" s="58"/>
      <c r="I31" s="58" t="s">
        <v>260</v>
      </c>
      <c r="J31" s="58"/>
      <c r="K31" s="63" t="s">
        <v>567</v>
      </c>
    </row>
    <row r="32" spans="1:11">
      <c r="A32" s="124"/>
      <c r="B32" s="86"/>
      <c r="C32" s="64" t="s">
        <v>540</v>
      </c>
      <c r="D32" s="64" t="s">
        <v>542</v>
      </c>
      <c r="E32" s="65" t="s">
        <v>556</v>
      </c>
      <c r="F32" s="65">
        <v>255</v>
      </c>
      <c r="G32" s="65"/>
      <c r="H32" s="65"/>
      <c r="I32" s="55" t="s">
        <v>206</v>
      </c>
      <c r="J32" s="65"/>
      <c r="K32" s="65"/>
    </row>
    <row r="33" spans="1:11">
      <c r="A33" s="124"/>
      <c r="B33" s="86"/>
      <c r="C33" s="64" t="s">
        <v>541</v>
      </c>
      <c r="D33" s="64" t="s">
        <v>544</v>
      </c>
      <c r="E33" s="65" t="s">
        <v>659</v>
      </c>
      <c r="F33" s="65"/>
      <c r="G33" s="65"/>
      <c r="H33" s="65"/>
      <c r="I33" s="55" t="s">
        <v>206</v>
      </c>
      <c r="J33" s="65"/>
      <c r="K33" s="65"/>
    </row>
    <row r="34" spans="1:11">
      <c r="A34" s="86"/>
      <c r="B34" s="86"/>
      <c r="C34" s="53" t="s">
        <v>186</v>
      </c>
      <c r="D34" s="55" t="s">
        <v>518</v>
      </c>
      <c r="E34" s="55" t="s">
        <v>528</v>
      </c>
      <c r="F34" s="55"/>
      <c r="G34" s="55"/>
      <c r="H34" s="55"/>
      <c r="I34" s="55" t="s">
        <v>260</v>
      </c>
      <c r="J34" s="55"/>
      <c r="K34" s="61"/>
    </row>
    <row r="35" spans="1:11">
      <c r="A35" s="86"/>
      <c r="B35" s="86"/>
      <c r="C35" s="53" t="s">
        <v>188</v>
      </c>
      <c r="D35" s="55" t="s">
        <v>519</v>
      </c>
      <c r="E35" s="55" t="s">
        <v>528</v>
      </c>
      <c r="F35" s="55"/>
      <c r="G35" s="55"/>
      <c r="H35" s="55"/>
      <c r="I35" s="55" t="s">
        <v>260</v>
      </c>
      <c r="J35" s="55"/>
      <c r="K35" s="61"/>
    </row>
  </sheetData>
  <mergeCells count="9">
    <mergeCell ref="A1:K1"/>
    <mergeCell ref="A3:A9"/>
    <mergeCell ref="B3:B9"/>
    <mergeCell ref="A10:A23"/>
    <mergeCell ref="B10:B23"/>
    <mergeCell ref="A24:A28"/>
    <mergeCell ref="B24:B28"/>
    <mergeCell ref="A29:A35"/>
    <mergeCell ref="B29:B35"/>
  </mergeCells>
  <phoneticPr fontId="1" type="noConversion"/>
  <pageMargins left="0.70" right="0.70" top="0.75" bottom="0.75" header="0.30" footer="0.3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abSelected="1" zoomScale="120"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Company>Microsoft</Company>
  <DocSecurity>0</DocSecurity>
  <HyperlinksChanged>false</HyperlinksChanged>
  <Lines>0</Lines>
  <LinksUpToDate>false</LinksUpToDate>
  <Pages>6</Pages>
  <Paragraphs>0</Paragraphs>
  <Words>0</Words>
  <TotalTime>0</TotalTime>
  <MMClips>0</MMClips>
  <ScaleCrop>false</ScaleCrop>
  <HeadingPairs>
    <vt:vector size="2" baseType="variant">
      <vt:variant>
        <vt:lpstr>제목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data11</dc:creator>
  <cp:lastModifiedBy>임세명</cp:lastModifiedBy>
  <dcterms:modified xsi:type="dcterms:W3CDTF">2019-09-19T10:42:39Z</dcterms:modified>
</cp:coreProperties>
</file>